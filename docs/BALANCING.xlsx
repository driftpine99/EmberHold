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ellschrauben" sheetId="1" state="visible" r:id="rId3"/>
    <sheet name="Hold-Kurve" sheetId="2" state="visible" r:id="rId4"/>
    <sheet name="Aufstieg" sheetId="3" state="visible" r:id="rId5"/>
    <sheet name="Territorien" sheetId="4" state="visible" r:id="rId6"/>
    <sheet name="Run-Pacing" sheetId="5" state="visible" r:id="rId7"/>
    <sheet name="Monetarisierung" sheetId="6" state="visible" r:id="rId8"/>
    <sheet name="Multi-Cloc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<sst xmlns="http://schemas.openxmlformats.org/spreadsheetml/2006/main" count="198" uniqueCount="195">
  <si>
    <t xml:space="preserve">EMBERHOLD — Balancing-Stellschrauben</t>
  </si>
  <si>
    <t xml:space="preserve">Alle gelb hinterlegten, blauen Zellen sind Eingaben. Alles andere rechnet sich daraus. Ändere hier — die anderen Blätter folgen.</t>
  </si>
  <si>
    <t xml:space="preserve">LEGENDE</t>
  </si>
  <si>
    <t xml:space="preserve">Blau auf Gelb</t>
  </si>
  <si>
    <t xml:space="preserve">Eingabe — hier darfst du schrauben</t>
  </si>
  <si>
    <t xml:space="preserve">Schwarz</t>
  </si>
  <si>
    <t xml:space="preserve">Formel — nicht überschreiben</t>
  </si>
  <si>
    <t xml:space="preserve">Grün</t>
  </si>
  <si>
    <t xml:space="preserve">Verweis auf ein anderes Blatt</t>
  </si>
  <si>
    <t xml:space="preserve">HOLD-ÖKONOMIE</t>
  </si>
  <si>
    <t xml:space="preserve">Kostenwachstum pro Stufe (r)</t>
  </si>
  <si>
    <t xml:space="preserve">cost(n) = Basis × r^n. Referenz: AdVenture Capitalist 1,07; Faustregel 1,15</t>
  </si>
  <si>
    <t xml:space="preserve">Basiskosten Gebäude (Gold)</t>
  </si>
  <si>
    <t xml:space="preserve">Startkosten Stufe 1</t>
  </si>
  <si>
    <t xml:space="preserve">Basisertrag Gebäude (Einh./Min)</t>
  </si>
  <si>
    <t xml:space="preserve">Ertrag pro Stufe</t>
  </si>
  <si>
    <t xml:space="preserve">Meilenstein-Intervall (Stufen)</t>
  </si>
  <si>
    <t xml:space="preserve">Alle N Stufen verdoppelt sich der Ertrag — erzeugt die Engagement-Bumps</t>
  </si>
  <si>
    <t xml:space="preserve">Meilenstein-Multiplikator</t>
  </si>
  <si>
    <t xml:space="preserve">Faktor je Meilenstein</t>
  </si>
  <si>
    <t xml:space="preserve">Anzahl Gebäude</t>
  </si>
  <si>
    <t xml:space="preserve">Parallel produzierende Gebäude</t>
  </si>
  <si>
    <t xml:space="preserve">Gold-Anteil am Gesamtertrag</t>
  </si>
  <si>
    <t xml:space="preserve">Wie viel Ertrag zu Gold wird</t>
  </si>
  <si>
    <t xml:space="preserve">AUFSTIEG (PRESTIGE)</t>
  </si>
  <si>
    <t xml:space="preserve">Splitter-Konstante (K)</t>
  </si>
  <si>
    <t xml:space="preserve">Splitter = K × √(Spitzenertrag / Skala)</t>
  </si>
  <si>
    <t xml:space="preserve">Splitter-Skala</t>
  </si>
  <si>
    <t xml:space="preserve">Nenner der Wurzelformel</t>
  </si>
  <si>
    <t xml:space="preserve">Bonus je Splitter</t>
  </si>
  <si>
    <t xml:space="preserve">Ertragsbonus pro Splitter</t>
  </si>
  <si>
    <t xml:space="preserve">Warden-Gate (Hold-Stufe)</t>
  </si>
  <si>
    <t xml:space="preserve">Ab dieser Hold-Stufe ist Warden 1 besiegbar. MUSS unter der Wall liegen!</t>
  </si>
  <si>
    <t xml:space="preserve">TERRITORIUM-SKALIERUNG</t>
  </si>
  <si>
    <t xml:space="preserve">Gegner-HP-Wachstum je Tier</t>
  </si>
  <si>
    <t xml:space="preserve">Belohnungs-Wachstum je Tier</t>
  </si>
  <si>
    <t xml:space="preserve">MUSS größer sein als HP-Wachstum, sonst lohnt Hochpushen nicht</t>
  </si>
  <si>
    <t xml:space="preserve">Gear-Machtwachstum je Tier</t>
  </si>
  <si>
    <t xml:space="preserve">Runen-Machtwachstum je Tier</t>
  </si>
  <si>
    <t xml:space="preserve">Ember-Baum je Tier (bis T10)</t>
  </si>
  <si>
    <t xml:space="preserve">Additiv, deckelt bei Tier 10</t>
  </si>
  <si>
    <t xml:space="preserve">RUN-PACING</t>
  </si>
  <si>
    <t xml:space="preserve">XP-Konstante A</t>
  </si>
  <si>
    <t xml:space="preserve">xp_bedarf(L) = A × L^k. A ergibt sich aus 'erster Pick bei 35 s'</t>
  </si>
  <si>
    <t xml:space="preserve">XP-Exponent k</t>
  </si>
  <si>
    <t xml:space="preserve">Aus '21 Picks in 8 Min' gelöst</t>
  </si>
  <si>
    <t xml:space="preserve">Basis-XP-Rate (XP/Sek)</t>
  </si>
  <si>
    <t xml:space="preserve">Dichte-Sättigung (max)</t>
  </si>
  <si>
    <t xml:space="preserve">Grenze durch Entity-Budget</t>
  </si>
  <si>
    <t xml:space="preserve">Buildstärke-Sättigung (max)</t>
  </si>
  <si>
    <t xml:space="preserve">Waffenslots</t>
  </si>
  <si>
    <t xml:space="preserve">Passivslots</t>
  </si>
  <si>
    <t xml:space="preserve">Stufen je Slot</t>
  </si>
  <si>
    <t xml:space="preserve">MONETARISIERUNG (Basis-Szenario)</t>
  </si>
  <si>
    <t xml:space="preserve">Rewarded Impressions / DAU</t>
  </si>
  <si>
    <t xml:space="preserve">Rewarded eCPM ($)</t>
  </si>
  <si>
    <t xml:space="preserve">TopOn H1'25, Casual Android — Tendenz fallend</t>
  </si>
  <si>
    <t xml:space="preserve">Interstitial Impressions / DAU</t>
  </si>
  <si>
    <t xml:space="preserve">Interstitial eCPM ($)</t>
  </si>
  <si>
    <t xml:space="preserve">Zahleranteil</t>
  </si>
  <si>
    <t xml:space="preserve">ARPPU pro Monat ($)</t>
  </si>
  <si>
    <t xml:space="preserve">Emberpass-Kaufrate je Saison</t>
  </si>
  <si>
    <t xml:space="preserve">Emberpass-Preis ($)</t>
  </si>
  <si>
    <t xml:space="preserve">Saisonlänge (Tage)</t>
  </si>
  <si>
    <t xml:space="preserve">Abo-Rate</t>
  </si>
  <si>
    <t xml:space="preserve">Abo-Preis pro Monat ($)</t>
  </si>
  <si>
    <t xml:space="preserve">Retention D1</t>
  </si>
  <si>
    <t xml:space="preserve">Ziel; Median 2026 ≈ 26 %</t>
  </si>
  <si>
    <t xml:space="preserve">Retention D7</t>
  </si>
  <si>
    <t xml:space="preserve">Ziel; Median 2026 ≈ 10 %</t>
  </si>
  <si>
    <t xml:space="preserve">Retention D30</t>
  </si>
  <si>
    <t xml:space="preserve">Ziel; Median 2026 ≈ 3–4 %</t>
  </si>
  <si>
    <t xml:space="preserve">Hold-Ökonomie — Kosten, Ertrag, Amortisation, Wall-Erkennung</t>
  </si>
  <si>
    <t xml:space="preserve">Zielkorridor Wartezeit: unter 3 Min = aktive Schleife · 3–10 Min = Idle-Pause · über 30 Min = Wall. Der Warden-Gate muss VOR der Wall liegen.</t>
  </si>
  <si>
    <t xml:space="preserve">Stufe</t>
  </si>
  <si>
    <t xml:space="preserve">Kosten</t>
  </si>
  <si>
    <t xml:space="preserve">Ertrag/Min</t>
  </si>
  <si>
    <t xml:space="preserve">Ertrag-Zuwachs</t>
  </si>
  <si>
    <t xml:space="preserve">Amortisation (Min)</t>
  </si>
  <si>
    <t xml:space="preserve">Gesamteinkommen/Min</t>
  </si>
  <si>
    <t xml:space="preserve">Wartezeit (Min)</t>
  </si>
  <si>
    <t xml:space="preserve">Bewertung</t>
  </si>
  <si>
    <t xml:space="preserve">Aufstiegs-Zyklen — Splitter, Bonus, Zyklusdauer</t>
  </si>
  <si>
    <t xml:space="preserve">Ziel: Zyklusdauer bleibt im Korridor 6–12 h. Zyklen sollen nicht länger werden, nur wertvoller.</t>
  </si>
  <si>
    <t xml:space="preserve">Basisertrag Hold (Ember/h)</t>
  </si>
  <si>
    <t xml:space="preserve">Hold-Ausbaufaktor</t>
  </si>
  <si>
    <t xml:space="preserve">Territorien-Faktor je Zyklus</t>
  </si>
  <si>
    <t xml:space="preserve">Territorien-Deckel (Zyklen)</t>
  </si>
  <si>
    <t xml:space="preserve">Zyklus</t>
  </si>
  <si>
    <t xml:space="preserve">Splitter gesamt (Vorzyklus)</t>
  </si>
  <si>
    <t xml:space="preserve">Splitter-Bonus</t>
  </si>
  <si>
    <t xml:space="preserve">Territorien-Faktor</t>
  </si>
  <si>
    <t xml:space="preserve">Spitzenertrag Ember/h</t>
  </si>
  <si>
    <t xml:space="preserve">Splitter dazu</t>
  </si>
  <si>
    <t xml:space="preserve">Splitter gesamt</t>
  </si>
  <si>
    <t xml:space="preserve">Dauer (h)</t>
  </si>
  <si>
    <t xml:space="preserve">kumuliert (h)</t>
  </si>
  <si>
    <t xml:space="preserve">PRÜFUNG</t>
  </si>
  <si>
    <t xml:space="preserve">Alle Zyklen im 6–12-h-Korridor?</t>
  </si>
  <si>
    <t xml:space="preserve">Verdopplungs-Verhältnis (soll ≈ 4×)</t>
  </si>
  <si>
    <t xml:space="preserve">Territorium-Tiers — Schwierigkeit, Macht, Belohnung</t>
  </si>
  <si>
    <t xml:space="preserve">Machtquote muss über 1,0 liegen und langsam steigen. Belohnungswachstum muss über HP-Wachstum liegen.</t>
  </si>
  <si>
    <t xml:space="preserve">Tier</t>
  </si>
  <si>
    <t xml:space="preserve">Gegner-HP</t>
  </si>
  <si>
    <t xml:space="preserve">Gear-Macht</t>
  </si>
  <si>
    <t xml:space="preserve">Runen-Macht</t>
  </si>
  <si>
    <t xml:space="preserve">Ember-Baum</t>
  </si>
  <si>
    <t xml:space="preserve">Spielermacht gesamt</t>
  </si>
  <si>
    <t xml:space="preserve">Machtquote</t>
  </si>
  <si>
    <t xml:space="preserve">Belohnung</t>
  </si>
  <si>
    <t xml:space="preserve">Lohnt Hochpushen?</t>
  </si>
  <si>
    <t xml:space="preserve">Run-Pacing — Kartenzüge je Modus</t>
  </si>
  <si>
    <t xml:space="preserve">Erster Pick bei 35 s. Rhythmus absichtlich ungleichmäßig: dünn früh, dicht spät. Kumulierte XP-Kosten begrenzen die Picks.</t>
  </si>
  <si>
    <t xml:space="preserve">Level</t>
  </si>
  <si>
    <t xml:space="preserve">XP-Bedarf für dieses Level</t>
  </si>
  <si>
    <t xml:space="preserve">Kumulierte XP</t>
  </si>
  <si>
    <t xml:space="preserve">Modus erreicht bei…</t>
  </si>
  <si>
    <t xml:space="preserve">Modus</t>
  </si>
  <si>
    <t xml:space="preserve">Dauer (Min)</t>
  </si>
  <si>
    <t xml:space="preserve">Kartenzüge</t>
  </si>
  <si>
    <t xml:space="preserve">Build-Fertigstellung</t>
  </si>
  <si>
    <t xml:space="preserve">Scharmützel</t>
  </si>
  <si>
    <t xml:space="preserve">Sortie</t>
  </si>
  <si>
    <t xml:space="preserve">Tiefenzug</t>
  </si>
  <si>
    <t xml:space="preserve">Wardenjagd</t>
  </si>
  <si>
    <t xml:space="preserve">Prüfung: kein Modus erreicht 100 %</t>
  </si>
  <si>
    <t xml:space="preserve">Umsatzmodell — ARPDAU, LTV, tragbarer CPI</t>
  </si>
  <si>
    <t xml:space="preserve">Alle Eingaben stehen im Blatt 'Stellschrauben'. Benchmark Hybrid-Casual ARPDAU: 0,15–0,50 $.</t>
  </si>
  <si>
    <t xml:space="preserve">Rewarded-Umsatz / DAU</t>
  </si>
  <si>
    <t xml:space="preserve">Interstitial-Umsatz / DAU</t>
  </si>
  <si>
    <t xml:space="preserve">IAP / DAU</t>
  </si>
  <si>
    <t xml:space="preserve">Emberpass / DAU</t>
  </si>
  <si>
    <t xml:space="preserve">Abo / DAU</t>
  </si>
  <si>
    <t xml:space="preserve">ARPDAU gesamt</t>
  </si>
  <si>
    <t xml:space="preserve">Benchmark Hybrid-Casual: 0,15–0,50 $</t>
  </si>
  <si>
    <t xml:space="preserve">Werbe-Anteil</t>
  </si>
  <si>
    <t xml:space="preserve">Hybrid-Casual-Muster: ~56 % Werbung / 40 % IAP / 7 % Abo</t>
  </si>
  <si>
    <t xml:space="preserve">RETENTION-KURVE &amp; LTV</t>
  </si>
  <si>
    <t xml:space="preserve">Tag</t>
  </si>
  <si>
    <t xml:space="preserve">Retention</t>
  </si>
  <si>
    <t xml:space="preserve">kum. Spieltage</t>
  </si>
  <si>
    <t xml:space="preserve">kum. LTV ($)</t>
  </si>
  <si>
    <t xml:space="preserve">Kum. Spieltage je Installer (180 T, Näherung)</t>
  </si>
  <si>
    <t xml:space="preserve">Aus balance_sim3.py per Tag-für-Tag-Integration; hier als Eingabe.</t>
  </si>
  <si>
    <t xml:space="preserve">LTV nach 180 Tagen</t>
  </si>
  <si>
    <t xml:space="preserve">Tragbarer CPI bei ROAS 1,0</t>
  </si>
  <si>
    <t xml:space="preserve">Tier-1-CPI liegt bei 1,50–3,00 $ — siehe Bewertung unten.</t>
  </si>
  <si>
    <t xml:space="preserve">Bezahlte UA in Tier 1 tragfähig?</t>
  </si>
  <si>
    <t xml:space="preserve">UMSATZ NACH DAU-STUFE</t>
  </si>
  <si>
    <t xml:space="preserve">DAU</t>
  </si>
  <si>
    <t xml:space="preserve">Umsatz / Monat</t>
  </si>
  <si>
    <t xml:space="preserve">Umsatz / Jahr</t>
  </si>
  <si>
    <t xml:space="preserve">STEAM-PREMIUM (vierte Säule)</t>
  </si>
  <si>
    <t xml:space="preserve">Preis ($)</t>
  </si>
  <si>
    <t xml:space="preserve">Steam-Anteil</t>
  </si>
  <si>
    <t xml:space="preserve">MwSt-Anteil</t>
  </si>
  <si>
    <t xml:space="preserve">Netto je Verkauf</t>
  </si>
  <si>
    <t xml:space="preserve">Verkäufe</t>
  </si>
  <si>
    <t xml:space="preserve">Netto-Umsatz</t>
  </si>
  <si>
    <t xml:space="preserve">entspricht F2P-Monaten @25k DAU</t>
  </si>
  <si>
    <t xml:space="preserve">Hold-Gebäude — Füllzeiten &amp; Abdeckung je Rückkehr-Taktung</t>
  </si>
  <si>
    <t xml:space="preserve">Jede Rückkehr-Taktung soll mindestens ein volles Gebäude vorfinden. 'voll' = 100 %, sonst der Füllstand.</t>
  </si>
  <si>
    <t xml:space="preserve">Gebäude</t>
  </si>
  <si>
    <t xml:space="preserve">Volk</t>
  </si>
  <si>
    <t xml:space="preserve">Produziert</t>
  </si>
  <si>
    <t xml:space="preserve">Füllzeit (h)</t>
  </si>
  <si>
    <t xml:space="preserve">0.5 h</t>
  </si>
  <si>
    <t xml:space="preserve">2 h</t>
  </si>
  <si>
    <t xml:space="preserve">8 h</t>
  </si>
  <si>
    <t xml:space="preserve">12 h</t>
  </si>
  <si>
    <t xml:space="preserve">24 h</t>
  </si>
  <si>
    <t xml:space="preserve">72 h</t>
  </si>
  <si>
    <t xml:space="preserve">Tiefmine</t>
  </si>
  <si>
    <t xml:space="preserve">Zwerge</t>
  </si>
  <si>
    <t xml:space="preserve">Eisenerz, Silbererz</t>
  </si>
  <si>
    <t xml:space="preserve">Holzfälle</t>
  </si>
  <si>
    <t xml:space="preserve">Sylvani</t>
  </si>
  <si>
    <t xml:space="preserve">Eibenholz, Sehne</t>
  </si>
  <si>
    <t xml:space="preserve">Emberschmiede</t>
  </si>
  <si>
    <t xml:space="preserve">Menschen</t>
  </si>
  <si>
    <t xml:space="preserve">Barren</t>
  </si>
  <si>
    <t xml:space="preserve">Arkanum</t>
  </si>
  <si>
    <t xml:space="preserve">Zirkel</t>
  </si>
  <si>
    <t xml:space="preserve">Essenz</t>
  </si>
  <si>
    <t xml:space="preserve">Runenwebstuhl</t>
  </si>
  <si>
    <t xml:space="preserve">Runen</t>
  </si>
  <si>
    <t xml:space="preserve">Übungshof</t>
  </si>
  <si>
    <t xml:space="preserve">Helden-XP</t>
  </si>
  <si>
    <t xml:space="preserve">Skriptorium</t>
  </si>
  <si>
    <t xml:space="preserve">Folianten</t>
  </si>
  <si>
    <t xml:space="preserve">Wardenkammer</t>
  </si>
  <si>
    <t xml:space="preserve">—</t>
  </si>
  <si>
    <t xml:space="preserve">Aufstiegs-Splitter</t>
  </si>
  <si>
    <t xml:space="preserve">Volle Gebäude</t>
  </si>
  <si>
    <t xml:space="preserve">Mindestens eins voll?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</si>
</sst>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"/>
    <numFmt numFmtId="166" formatCode="#,##0"/>
    <numFmt numFmtId="167" formatCode="0.00"/>
    <numFmt numFmtId="168" formatCode="0"/>
    <numFmt numFmtId="169" formatCode="0.0"/>
    <numFmt numFmtId="170" formatCode="0.0%"/>
    <numFmt numFmtId="171" formatCode="\$0.00"/>
    <numFmt numFmtId="172" formatCode="#,##0.0"/>
    <numFmt numFmtId="173" formatCode="#,##0.00"/>
    <numFmt numFmtId="174" formatCode="\$0.0000"/>
    <numFmt numFmtId="175" formatCode="\$#,##0"/>
    <numFmt numFmtId="17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2E3A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3C4"/>
        <bgColor rgb="FFFBE9E7"/>
      </patternFill>
    </fill>
    <fill>
      <patternFill patternType="solid">
        <fgColor rgb="FFEAF3EA"/>
        <bgColor rgb="FFFBE9E7"/>
      </patternFill>
    </fill>
    <fill>
      <patternFill patternType="solid">
        <fgColor rgb="FF2E3A59"/>
        <bgColor rgb="FF333399"/>
      </patternFill>
    </fill>
    <fill>
      <patternFill patternType="solid">
        <fgColor rgb="FFFBE9E7"/>
        <bgColor rgb="FFEAF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8F4E"/>
      <rgbColor rgb="FF800080"/>
      <rgbColor rgb="FF008080"/>
      <rgbColor rgb="FFD9D9D9"/>
      <rgbColor rgb="FF878787"/>
      <rgbColor rgb="FF9999FF"/>
      <rgbColor rgb="FF993366"/>
      <rgbColor rgb="FFFFF3C4"/>
      <rgbColor rgb="FFEAF3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A6EA5"/>
      <rgbColor rgb="FF33CCCC"/>
      <rgbColor rgb="FF99CC00"/>
      <rgbColor rgb="FFFFCC00"/>
      <rgbColor rgb="FFFF9900"/>
      <rgbColor rgb="FFC25E3A"/>
      <rgbColor rgb="FF666666"/>
      <rgbColor rgb="FF8A6BA8"/>
      <rgbColor rgb="FF003366"/>
      <rgbColor rgb="FF339966"/>
      <rgbColor rgb="FF003300"/>
      <rgbColor rgb="FF1A1A2E"/>
      <rgbColor rgb="FF993300"/>
      <rgbColor rgb="FF993366"/>
      <rgbColor rgb="FF333399"/>
      <rgbColor rgb="FF2E3A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Idle-Herzschlag: Wartezeit bis zum naechsten Upgrade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'Hold-Kurve'!G4</c:f>
              <c:strCache>
                <c:ptCount val="1"/>
                <c:pt idx="0">
                  <c:v>Wartezeit (Min)</c:v>
                </c:pt>
              </c:strCache>
            </c:strRef>
          </c:tx>
          <c:spPr>
            <a:solidFill>
              <a:srgbClr val="c25e3a"/>
            </a:solidFill>
            <a:ln w="21960">
              <a:solidFill>
                <a:srgbClr val="c25e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'Hold-Kurve'!$A$5:$A$124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'Hold-Kurve'!$G$5:$G$124</c:f>
              <c:numCache>
                <c:formatCode>#,##0.0</c:formatCode>
                <c:ptCount val="120"/>
                <c:pt idx="0">
                  <c:v>4.625</c:v>
                </c:pt>
                <c:pt idx="1">
                  <c:v>2.566875</c:v>
                </c:pt>
                <c:pt idx="2">
                  <c:v>1.8994875</c:v>
                </c:pt>
                <c:pt idx="3">
                  <c:v>1.58132334375</c:v>
                </c:pt>
                <c:pt idx="4">
                  <c:v>1.40421512925</c:v>
                </c:pt>
                <c:pt idx="5">
                  <c:v>1.29889899455625</c:v>
                </c:pt>
                <c:pt idx="6">
                  <c:v>1.23580961482066</c:v>
                </c:pt>
                <c:pt idx="7">
                  <c:v>1.20028008839457</c:v>
                </c:pt>
                <c:pt idx="8">
                  <c:v>1.18427635388264</c:v>
                </c:pt>
                <c:pt idx="9">
                  <c:v>1.18309207752876</c:v>
                </c:pt>
                <c:pt idx="10">
                  <c:v>1.19384746005175</c:v>
                </c:pt>
                <c:pt idx="11">
                  <c:v>1.21473979060265</c:v>
                </c:pt>
                <c:pt idx="12">
                  <c:v>1.24464107775595</c:v>
                </c:pt>
                <c:pt idx="13">
                  <c:v>1.28286933942988</c:v>
                </c:pt>
                <c:pt idx="14">
                  <c:v>1.32905263564936</c:v>
                </c:pt>
                <c:pt idx="15">
                  <c:v>1.38304539897261</c:v>
                </c:pt>
                <c:pt idx="16">
                  <c:v>1.44487566386786</c:v>
                </c:pt>
                <c:pt idx="17">
                  <c:v>1.51471132095481</c:v>
                </c:pt>
                <c:pt idx="18">
                  <c:v>1.59283853645668</c:v>
                </c:pt>
                <c:pt idx="19">
                  <c:v>1.67964823669357</c:v>
                </c:pt>
                <c:pt idx="20">
                  <c:v>1.77562813593321</c:v>
                </c:pt>
                <c:pt idx="21">
                  <c:v>1.88135872039105</c:v>
                </c:pt>
                <c:pt idx="22">
                  <c:v>1.99751217182389</c:v>
                </c:pt>
                <c:pt idx="23">
                  <c:v>2.12485357277766</c:v>
                </c:pt>
                <c:pt idx="24">
                  <c:v>1.13212198357594</c:v>
                </c:pt>
                <c:pt idx="25">
                  <c:v>1.20832250170124</c:v>
                </c:pt>
                <c:pt idx="26">
                  <c:v>1.29156249626288</c:v>
                </c:pt>
                <c:pt idx="27">
                  <c:v>1.38243314332138</c:v>
                </c:pt>
                <c:pt idx="28">
                  <c:v>1.48158696877339</c:v>
                </c:pt>
                <c:pt idx="29">
                  <c:v>1.58974281749385</c:v>
                </c:pt>
                <c:pt idx="30">
                  <c:v>1.70769147814662</c:v>
                </c:pt>
                <c:pt idx="31">
                  <c:v>1.83630199259454</c:v>
                </c:pt>
                <c:pt idx="32">
                  <c:v>1.97652869021085</c:v>
                </c:pt>
                <c:pt idx="33">
                  <c:v>2.12941899771834</c:v>
                </c:pt>
                <c:pt idx="34">
                  <c:v>2.29612208496829</c:v>
                </c:pt>
                <c:pt idx="35">
                  <c:v>2.47789841669494</c:v>
                </c:pt>
                <c:pt idx="36">
                  <c:v>2.67613029003054</c:v>
                </c:pt>
                <c:pt idx="37">
                  <c:v>2.89233344767248</c:v>
                </c:pt>
                <c:pt idx="38">
                  <c:v>3.12816986725193</c:v>
                </c:pt>
                <c:pt idx="39">
                  <c:v>3.3854618388334</c:v>
                </c:pt>
                <c:pt idx="40">
                  <c:v>3.66620745473666</c:v>
                </c:pt>
                <c:pt idx="41">
                  <c:v>3.97259764916822</c:v>
                </c:pt>
                <c:pt idx="42">
                  <c:v>4.30703493963308</c:v>
                </c:pt>
                <c:pt idx="43">
                  <c:v>4.6721540379247</c:v>
                </c:pt>
                <c:pt idx="44">
                  <c:v>5.07084451582761</c:v>
                </c:pt>
                <c:pt idx="45">
                  <c:v>5.50627572968672</c:v>
                </c:pt>
                <c:pt idx="46">
                  <c:v>5.98192422888945</c:v>
                </c:pt>
                <c:pt idx="47">
                  <c:v>6.50160389627422</c:v>
                </c:pt>
                <c:pt idx="48">
                  <c:v>7.0694990937447</c:v>
                </c:pt>
                <c:pt idx="49">
                  <c:v>3.84510055708775</c:v>
                </c:pt>
                <c:pt idx="50">
                  <c:v>4.18437413565431</c:v>
                </c:pt>
                <c:pt idx="51">
                  <c:v>4.55533499652674</c:v>
                </c:pt>
                <c:pt idx="52">
                  <c:v>4.96101766036837</c:v>
                </c:pt>
                <c:pt idx="53">
                  <c:v>5.4047531288791</c:v>
                </c:pt>
                <c:pt idx="54">
                  <c:v>5.89019822809115</c:v>
                </c:pt>
                <c:pt idx="55">
                  <c:v>6.42136788973151</c:v>
                </c:pt>
                <c:pt idx="56">
                  <c:v>7.00267066711773</c:v>
                </c:pt>
                <c:pt idx="57">
                  <c:v>7.63894781221619</c:v>
                </c:pt>
                <c:pt idx="58">
                  <c:v>8.33551627373692</c:v>
                </c:pt>
                <c:pt idx="59">
                  <c:v>9.09821601278385</c:v>
                </c:pt>
                <c:pt idx="60">
                  <c:v>9.93346207297384</c:v>
                </c:pt>
                <c:pt idx="61">
                  <c:v>10.8483018864687</c:v>
                </c:pt>
                <c:pt idx="62">
                  <c:v>11.8504783464567</c:v>
                </c:pt>
                <c:pt idx="63">
                  <c:v>12.9484992307456</c:v>
                </c:pt>
                <c:pt idx="64">
                  <c:v>14.1517136208026</c:v>
                </c:pt>
                <c:pt idx="65">
                  <c:v>15.4703960263774</c:v>
                </c:pt>
                <c:pt idx="66">
                  <c:v>16.9158389983942</c:v>
                </c:pt>
                <c:pt idx="67">
                  <c:v>18.5004550928026</c:v>
                </c:pt>
                <c:pt idx="68">
                  <c:v>20.2378891363005</c:v>
                </c:pt>
                <c:pt idx="69">
                  <c:v>22.1431418421323</c:v>
                </c:pt>
                <c:pt idx="70">
                  <c:v>24.2327059314602</c:v>
                </c:pt>
                <c:pt idx="71">
                  <c:v>26.5247160341442</c:v>
                </c:pt>
                <c:pt idx="72">
                  <c:v>29.0391137732713</c:v>
                </c:pt>
                <c:pt idx="73">
                  <c:v>31.7978295817321</c:v>
                </c:pt>
                <c:pt idx="74">
                  <c:v>17.4124914789565</c:v>
                </c:pt>
                <c:pt idx="75">
                  <c:v>19.0735515213569</c:v>
                </c:pt>
                <c:pt idx="76">
                  <c:v>20.8966857966451</c:v>
                </c:pt>
                <c:pt idx="77">
                  <c:v>22.8979453210161</c:v>
                </c:pt>
                <c:pt idx="78">
                  <c:v>25.0949886821971</c:v>
                </c:pt>
                <c:pt idx="79">
                  <c:v>27.5072444692733</c:v>
                </c:pt>
                <c:pt idx="80">
                  <c:v>30.1560902329811</c:v>
                </c:pt>
                <c:pt idx="81">
                  <c:v>33.0650496688699</c:v>
                </c:pt>
                <c:pt idx="82">
                  <c:v>36.260009889886</c:v>
                </c:pt>
                <c:pt idx="83">
                  <c:v>39.7694608470857</c:v>
                </c:pt>
                <c:pt idx="84">
                  <c:v>43.6247591692032</c:v>
                </c:pt>
                <c:pt idx="85">
                  <c:v>47.860418925748</c:v>
                </c:pt>
                <c:pt idx="86">
                  <c:v>52.5144320764586</c:v>
                </c:pt>
                <c:pt idx="87">
                  <c:v>57.6286216548137</c:v>
                </c:pt>
                <c:pt idx="88">
                  <c:v>63.2490310476652</c:v>
                </c:pt>
                <c:pt idx="89">
                  <c:v>69.4263530799872</c:v>
                </c:pt>
                <c:pt idx="90">
                  <c:v>76.2164029966014</c:v>
                </c:pt>
                <c:pt idx="91">
                  <c:v>83.6806398552903</c:v>
                </c:pt>
                <c:pt idx="92">
                  <c:v>91.8867413120671</c:v>
                </c:pt>
                <c:pt idx="93">
                  <c:v>100.909237294092</c:v>
                </c:pt>
                <c:pt idx="94">
                  <c:v>110.830208623848</c:v>
                </c:pt>
                <c:pt idx="95">
                  <c:v>121.740057285259</c:v>
                </c:pt>
                <c:pt idx="96">
                  <c:v>133.73835571461</c:v>
                </c:pt>
                <c:pt idx="97">
                  <c:v>146.934783263184</c:v>
                </c:pt>
                <c:pt idx="98">
                  <c:v>161.450158821911</c:v>
                </c:pt>
                <c:pt idx="99">
                  <c:v>88.7087897646989</c:v>
                </c:pt>
                <c:pt idx="100">
                  <c:v>97.4918382562533</c:v>
                </c:pt>
                <c:pt idx="101">
                  <c:v>107.154999871652</c:v>
                </c:pt>
                <c:pt idx="102">
                  <c:v>117.787272674451</c:v>
                </c:pt>
                <c:pt idx="103">
                  <c:v>129.486720046827</c:v>
                </c:pt>
                <c:pt idx="104">
                  <c:v>142.361399640055</c:v>
                </c:pt>
                <c:pt idx="105">
                  <c:v>156.530388000456</c:v>
                </c:pt>
                <c:pt idx="106">
                  <c:v>172.124910767605</c:v>
                </c:pt>
                <c:pt idx="107">
                  <c:v>189.289589369152</c:v>
                </c:pt>
                <c:pt idx="108">
                  <c:v>208.18381627132</c:v>
                </c:pt>
                <c:pt idx="109">
                  <c:v>228.983272096973</c:v>
                </c:pt>
                <c:pt idx="110">
                  <c:v>251.881599306671</c:v>
                </c:pt>
                <c:pt idx="111">
                  <c:v>277.092248665847</c:v>
                </c:pt>
                <c:pt idx="112">
                  <c:v>304.850516408302</c:v>
                </c:pt>
                <c:pt idx="113">
                  <c:v>335.41579186924</c:v>
                </c:pt>
                <c:pt idx="114">
                  <c:v>369.074037418553</c:v>
                </c:pt>
                <c:pt idx="115">
                  <c:v>406.140524797227</c:v>
                </c:pt>
                <c:pt idx="116">
                  <c:v>446.962854469153</c:v>
                </c:pt>
                <c:pt idx="117">
                  <c:v>491.924287372109</c:v>
                </c:pt>
                <c:pt idx="118">
                  <c:v>541.447421512596</c:v>
                </c:pt>
                <c:pt idx="119">
                  <c:v>595.99824922999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238689"/>
        <c:axId val="56475383"/>
      </c:lineChart>
      <c:catAx>
        <c:axId val="752386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Hold-Stufe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75383"/>
        <c:crosses val="autoZero"/>
        <c:auto val="1"/>
        <c:lblAlgn val="ctr"/>
        <c:lblOffset val="100"/>
        <c:noMultiLvlLbl val="0"/>
      </c:catAx>
      <c:valAx>
        <c:axId val="5647538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386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Kosten (exponentiell) vs. Ertrag (linear + Meilensteine)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'Hold-Kurve'!B4</c:f>
              <c:strCache>
                <c:ptCount val="1"/>
                <c:pt idx="0">
                  <c:v>Kosten</c:v>
                </c:pt>
              </c:strCache>
            </c:strRef>
          </c:tx>
          <c:spPr>
            <a:solidFill>
              <a:srgbClr val="c25e3a"/>
            </a:solidFill>
            <a:ln w="21960">
              <a:solidFill>
                <a:srgbClr val="c25e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'Hold-Kurve'!$A$5:$A$124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'Hold-Kurve'!$B$5:$B$124</c:f>
              <c:numCache>
                <c:formatCode>#,##0</c:formatCode>
                <c:ptCount val="120"/>
                <c:pt idx="0">
                  <c:v>16.65</c:v>
                </c:pt>
                <c:pt idx="1">
                  <c:v>18.4815</c:v>
                </c:pt>
                <c:pt idx="2">
                  <c:v>20.514465</c:v>
                </c:pt>
                <c:pt idx="3">
                  <c:v>22.77105615</c:v>
                </c:pt>
                <c:pt idx="4">
                  <c:v>25.2758723265</c:v>
                </c:pt>
                <c:pt idx="5">
                  <c:v>28.056218282415</c:v>
                </c:pt>
                <c:pt idx="6">
                  <c:v>31.1424022934807</c:v>
                </c:pt>
                <c:pt idx="7">
                  <c:v>34.5680665457635</c:v>
                </c:pt>
                <c:pt idx="8">
                  <c:v>38.3705538657975</c:v>
                </c:pt>
                <c:pt idx="9">
                  <c:v>42.5913147910353</c:v>
                </c:pt>
                <c:pt idx="10">
                  <c:v>47.2763594180492</c:v>
                </c:pt>
                <c:pt idx="11">
                  <c:v>52.4767589540346</c:v>
                </c:pt>
                <c:pt idx="12">
                  <c:v>58.2492024389784</c:v>
                </c:pt>
                <c:pt idx="13">
                  <c:v>64.656614707266</c:v>
                </c:pt>
                <c:pt idx="14">
                  <c:v>71.7688423250653</c:v>
                </c:pt>
                <c:pt idx="15">
                  <c:v>79.6634149808225</c:v>
                </c:pt>
                <c:pt idx="16">
                  <c:v>88.4263906287129</c:v>
                </c:pt>
                <c:pt idx="17">
                  <c:v>98.1532935978714</c:v>
                </c:pt>
                <c:pt idx="18">
                  <c:v>108.950155893637</c:v>
                </c:pt>
                <c:pt idx="19">
                  <c:v>120.934673041937</c:v>
                </c:pt>
                <c:pt idx="20">
                  <c:v>134.23748707655</c:v>
                </c:pt>
                <c:pt idx="21">
                  <c:v>149.003610654971</c:v>
                </c:pt>
                <c:pt idx="22">
                  <c:v>165.394007827018</c:v>
                </c:pt>
                <c:pt idx="23">
                  <c:v>183.58734868799</c:v>
                </c:pt>
                <c:pt idx="24">
                  <c:v>203.781957043669</c:v>
                </c:pt>
                <c:pt idx="25">
                  <c:v>226.197972318472</c:v>
                </c:pt>
                <c:pt idx="26">
                  <c:v>251.079749273504</c:v>
                </c:pt>
                <c:pt idx="27">
                  <c:v>278.69852169359</c:v>
                </c:pt>
                <c:pt idx="28">
                  <c:v>309.355359079885</c:v>
                </c:pt>
                <c:pt idx="29">
                  <c:v>343.384448578672</c:v>
                </c:pt>
                <c:pt idx="30">
                  <c:v>381.156737922326</c:v>
                </c:pt>
                <c:pt idx="31">
                  <c:v>423.083979093782</c:v>
                </c:pt>
                <c:pt idx="32">
                  <c:v>469.623216794098</c:v>
                </c:pt>
                <c:pt idx="33">
                  <c:v>521.281770641449</c:v>
                </c:pt>
                <c:pt idx="34">
                  <c:v>578.622765412008</c:v>
                </c:pt>
                <c:pt idx="35">
                  <c:v>642.271269607329</c:v>
                </c:pt>
                <c:pt idx="36">
                  <c:v>712.921109264135</c:v>
                </c:pt>
                <c:pt idx="37">
                  <c:v>791.34243128319</c:v>
                </c:pt>
                <c:pt idx="38">
                  <c:v>878.390098724341</c:v>
                </c:pt>
                <c:pt idx="39">
                  <c:v>975.013009584019</c:v>
                </c:pt>
                <c:pt idx="40">
                  <c:v>1082.26444063826</c:v>
                </c:pt>
                <c:pt idx="41">
                  <c:v>1201.31352910847</c:v>
                </c:pt>
                <c:pt idx="42">
                  <c:v>1333.4580173104</c:v>
                </c:pt>
                <c:pt idx="43">
                  <c:v>1480.13839921455</c:v>
                </c:pt>
                <c:pt idx="44">
                  <c:v>1642.95362312815</c:v>
                </c:pt>
                <c:pt idx="45">
                  <c:v>1823.67852167224</c:v>
                </c:pt>
                <c:pt idx="46">
                  <c:v>2024.28315905619</c:v>
                </c:pt>
                <c:pt idx="47">
                  <c:v>2246.95430655237</c:v>
                </c:pt>
                <c:pt idx="48">
                  <c:v>2494.11928027313</c:v>
                </c:pt>
                <c:pt idx="49">
                  <c:v>2768.47240110318</c:v>
                </c:pt>
                <c:pt idx="50">
                  <c:v>3073.00436522453</c:v>
                </c:pt>
                <c:pt idx="51">
                  <c:v>3411.03484539922</c:v>
                </c:pt>
                <c:pt idx="52">
                  <c:v>3786.24867839314</c:v>
                </c:pt>
                <c:pt idx="53">
                  <c:v>4202.73603301639</c:v>
                </c:pt>
                <c:pt idx="54">
                  <c:v>4665.03699664819</c:v>
                </c:pt>
                <c:pt idx="55">
                  <c:v>5178.19106627949</c:v>
                </c:pt>
                <c:pt idx="56">
                  <c:v>5747.79208357023</c:v>
                </c:pt>
                <c:pt idx="57">
                  <c:v>6380.04921276296</c:v>
                </c:pt>
                <c:pt idx="58">
                  <c:v>7081.85462616688</c:v>
                </c:pt>
                <c:pt idx="59">
                  <c:v>7860.85863504524</c:v>
                </c:pt>
                <c:pt idx="60">
                  <c:v>8725.55308490022</c:v>
                </c:pt>
                <c:pt idx="61">
                  <c:v>9685.36392423925</c:v>
                </c:pt>
                <c:pt idx="62">
                  <c:v>10750.7539559056</c:v>
                </c:pt>
                <c:pt idx="63">
                  <c:v>11933.3368910552</c:v>
                </c:pt>
                <c:pt idx="64">
                  <c:v>13246.0039490712</c:v>
                </c:pt>
                <c:pt idx="65">
                  <c:v>14703.0643834691</c:v>
                </c:pt>
                <c:pt idx="66">
                  <c:v>16320.4014656507</c:v>
                </c:pt>
                <c:pt idx="67">
                  <c:v>18115.6456268723</c:v>
                </c:pt>
                <c:pt idx="68">
                  <c:v>20108.3666458282</c:v>
                </c:pt>
                <c:pt idx="69">
                  <c:v>22320.2869768693</c:v>
                </c:pt>
                <c:pt idx="70">
                  <c:v>24775.5185443249</c:v>
                </c:pt>
                <c:pt idx="71">
                  <c:v>27500.8255842007</c:v>
                </c:pt>
                <c:pt idx="72">
                  <c:v>30525.9163984628</c:v>
                </c:pt>
                <c:pt idx="73">
                  <c:v>33883.7672022937</c:v>
                </c:pt>
                <c:pt idx="74">
                  <c:v>37610.981594546</c:v>
                </c:pt>
                <c:pt idx="75">
                  <c:v>41748.1895699461</c:v>
                </c:pt>
                <c:pt idx="76">
                  <c:v>46340.4904226401</c:v>
                </c:pt>
                <c:pt idx="77">
                  <c:v>51437.9443691305</c:v>
                </c:pt>
                <c:pt idx="78">
                  <c:v>57096.1182497349</c:v>
                </c:pt>
                <c:pt idx="79">
                  <c:v>63376.6912572057</c:v>
                </c:pt>
                <c:pt idx="80">
                  <c:v>70348.1272954984</c:v>
                </c:pt>
                <c:pt idx="81">
                  <c:v>78086.4212980032</c:v>
                </c:pt>
                <c:pt idx="82">
                  <c:v>86675.9276407836</c:v>
                </c:pt>
                <c:pt idx="83">
                  <c:v>96210.2796812698</c:v>
                </c:pt>
                <c:pt idx="84">
                  <c:v>106793.410446209</c:v>
                </c:pt>
                <c:pt idx="85">
                  <c:v>118540.685595293</c:v>
                </c:pt>
                <c:pt idx="86">
                  <c:v>131580.161010775</c:v>
                </c:pt>
                <c:pt idx="87">
                  <c:v>146053.97872196</c:v>
                </c:pt>
                <c:pt idx="88">
                  <c:v>162119.916381376</c:v>
                </c:pt>
                <c:pt idx="89">
                  <c:v>179953.107183327</c:v>
                </c:pt>
                <c:pt idx="90">
                  <c:v>199747.948973493</c:v>
                </c:pt>
                <c:pt idx="91">
                  <c:v>221720.223360577</c:v>
                </c:pt>
                <c:pt idx="92">
                  <c:v>246109.447930241</c:v>
                </c:pt>
                <c:pt idx="93">
                  <c:v>273181.487202567</c:v>
                </c:pt>
                <c:pt idx="94">
                  <c:v>303231.450794849</c:v>
                </c:pt>
                <c:pt idx="95">
                  <c:v>336586.910382283</c:v>
                </c:pt>
                <c:pt idx="96">
                  <c:v>373611.470524334</c:v>
                </c:pt>
                <c:pt idx="97">
                  <c:v>414708.732282011</c:v>
                </c:pt>
                <c:pt idx="98">
                  <c:v>460326.692833032</c:v>
                </c:pt>
                <c:pt idx="99">
                  <c:v>510962.629044666</c:v>
                </c:pt>
                <c:pt idx="100">
                  <c:v>567168.518239579</c:v>
                </c:pt>
                <c:pt idx="101">
                  <c:v>629557.055245933</c:v>
                </c:pt>
                <c:pt idx="102">
                  <c:v>698808.331322985</c:v>
                </c:pt>
                <c:pt idx="103">
                  <c:v>775677.247768514</c:v>
                </c:pt>
                <c:pt idx="104">
                  <c:v>861001.745023051</c:v>
                </c:pt>
                <c:pt idx="105">
                  <c:v>955711.936975586</c:v>
                </c:pt>
                <c:pt idx="106">
                  <c:v>1060840.2500429</c:v>
                </c:pt>
                <c:pt idx="107">
                  <c:v>1177532.67754762</c:v>
                </c:pt>
                <c:pt idx="108">
                  <c:v>1307061.27207786</c:v>
                </c:pt>
                <c:pt idx="109">
                  <c:v>1450838.01200642</c:v>
                </c:pt>
                <c:pt idx="110">
                  <c:v>1610430.19332713</c:v>
                </c:pt>
                <c:pt idx="111">
                  <c:v>1787577.51459311</c:v>
                </c:pt>
                <c:pt idx="112">
                  <c:v>1984211.04119836</c:v>
                </c:pt>
                <c:pt idx="113">
                  <c:v>2202474.25573018</c:v>
                </c:pt>
                <c:pt idx="114">
                  <c:v>2444746.4238605</c:v>
                </c:pt>
                <c:pt idx="115">
                  <c:v>2713668.53048515</c:v>
                </c:pt>
                <c:pt idx="116">
                  <c:v>3012172.06883852</c:v>
                </c:pt>
                <c:pt idx="117">
                  <c:v>3343510.99641075</c:v>
                </c:pt>
                <c:pt idx="118">
                  <c:v>3711297.20601594</c:v>
                </c:pt>
                <c:pt idx="119">
                  <c:v>4119539.89867769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'Hold-Kurve'!C4</c:f>
              <c:strCache>
                <c:ptCount val="1"/>
                <c:pt idx="0">
                  <c:v>Ertrag/Min</c:v>
                </c:pt>
              </c:strCache>
            </c:strRef>
          </c:tx>
          <c:spPr>
            <a:solidFill>
              <a:srgbClr val="3a6ea5"/>
            </a:solidFill>
            <a:ln w="21960">
              <a:solidFill>
                <a:srgbClr val="3a6e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'Hold-Kurve'!$A$5:$A$124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'Hold-Kurve'!$C$5:$C$124</c:f>
              <c:numCache>
                <c:formatCode>#,##0.0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  <c:pt idx="39">
                  <c:v>80</c:v>
                </c:pt>
                <c:pt idx="40">
                  <c:v>82</c:v>
                </c:pt>
                <c:pt idx="41">
                  <c:v>84</c:v>
                </c:pt>
                <c:pt idx="42">
                  <c:v>86</c:v>
                </c:pt>
                <c:pt idx="43">
                  <c:v>88</c:v>
                </c:pt>
                <c:pt idx="44">
                  <c:v>90</c:v>
                </c:pt>
                <c:pt idx="45">
                  <c:v>92</c:v>
                </c:pt>
                <c:pt idx="46">
                  <c:v>94</c:v>
                </c:pt>
                <c:pt idx="47">
                  <c:v>96</c:v>
                </c:pt>
                <c:pt idx="48">
                  <c:v>98</c:v>
                </c:pt>
                <c:pt idx="49">
                  <c:v>200</c:v>
                </c:pt>
                <c:pt idx="50">
                  <c:v>204</c:v>
                </c:pt>
                <c:pt idx="51">
                  <c:v>208</c:v>
                </c:pt>
                <c:pt idx="52">
                  <c:v>212</c:v>
                </c:pt>
                <c:pt idx="53">
                  <c:v>216</c:v>
                </c:pt>
                <c:pt idx="54">
                  <c:v>220</c:v>
                </c:pt>
                <c:pt idx="55">
                  <c:v>224</c:v>
                </c:pt>
                <c:pt idx="56">
                  <c:v>228</c:v>
                </c:pt>
                <c:pt idx="57">
                  <c:v>232</c:v>
                </c:pt>
                <c:pt idx="58">
                  <c:v>236</c:v>
                </c:pt>
                <c:pt idx="59">
                  <c:v>240</c:v>
                </c:pt>
                <c:pt idx="60">
                  <c:v>244</c:v>
                </c:pt>
                <c:pt idx="61">
                  <c:v>248</c:v>
                </c:pt>
                <c:pt idx="62">
                  <c:v>252</c:v>
                </c:pt>
                <c:pt idx="63">
                  <c:v>256</c:v>
                </c:pt>
                <c:pt idx="64">
                  <c:v>260</c:v>
                </c:pt>
                <c:pt idx="65">
                  <c:v>264</c:v>
                </c:pt>
                <c:pt idx="66">
                  <c:v>268</c:v>
                </c:pt>
                <c:pt idx="67">
                  <c:v>272</c:v>
                </c:pt>
                <c:pt idx="68">
                  <c:v>276</c:v>
                </c:pt>
                <c:pt idx="69">
                  <c:v>280</c:v>
                </c:pt>
                <c:pt idx="70">
                  <c:v>284</c:v>
                </c:pt>
                <c:pt idx="71">
                  <c:v>288</c:v>
                </c:pt>
                <c:pt idx="72">
                  <c:v>292</c:v>
                </c:pt>
                <c:pt idx="73">
                  <c:v>296</c:v>
                </c:pt>
                <c:pt idx="74">
                  <c:v>600</c:v>
                </c:pt>
                <c:pt idx="75">
                  <c:v>608</c:v>
                </c:pt>
                <c:pt idx="76">
                  <c:v>616</c:v>
                </c:pt>
                <c:pt idx="77">
                  <c:v>624</c:v>
                </c:pt>
                <c:pt idx="78">
                  <c:v>632</c:v>
                </c:pt>
                <c:pt idx="79">
                  <c:v>640</c:v>
                </c:pt>
                <c:pt idx="80">
                  <c:v>648</c:v>
                </c:pt>
                <c:pt idx="81">
                  <c:v>656</c:v>
                </c:pt>
                <c:pt idx="82">
                  <c:v>664</c:v>
                </c:pt>
                <c:pt idx="83">
                  <c:v>672</c:v>
                </c:pt>
                <c:pt idx="84">
                  <c:v>680</c:v>
                </c:pt>
                <c:pt idx="85">
                  <c:v>688</c:v>
                </c:pt>
                <c:pt idx="86">
                  <c:v>696</c:v>
                </c:pt>
                <c:pt idx="87">
                  <c:v>704</c:v>
                </c:pt>
                <c:pt idx="88">
                  <c:v>712</c:v>
                </c:pt>
                <c:pt idx="89">
                  <c:v>720</c:v>
                </c:pt>
                <c:pt idx="90">
                  <c:v>728</c:v>
                </c:pt>
                <c:pt idx="91">
                  <c:v>736</c:v>
                </c:pt>
                <c:pt idx="92">
                  <c:v>744</c:v>
                </c:pt>
                <c:pt idx="93">
                  <c:v>752</c:v>
                </c:pt>
                <c:pt idx="94">
                  <c:v>760</c:v>
                </c:pt>
                <c:pt idx="95">
                  <c:v>768</c:v>
                </c:pt>
                <c:pt idx="96">
                  <c:v>776</c:v>
                </c:pt>
                <c:pt idx="97">
                  <c:v>784</c:v>
                </c:pt>
                <c:pt idx="98">
                  <c:v>792</c:v>
                </c:pt>
                <c:pt idx="99">
                  <c:v>1600</c:v>
                </c:pt>
                <c:pt idx="100">
                  <c:v>1616</c:v>
                </c:pt>
                <c:pt idx="101">
                  <c:v>1632</c:v>
                </c:pt>
                <c:pt idx="102">
                  <c:v>1648</c:v>
                </c:pt>
                <c:pt idx="103">
                  <c:v>1664</c:v>
                </c:pt>
                <c:pt idx="104">
                  <c:v>1680</c:v>
                </c:pt>
                <c:pt idx="105">
                  <c:v>1696</c:v>
                </c:pt>
                <c:pt idx="106">
                  <c:v>1712</c:v>
                </c:pt>
                <c:pt idx="107">
                  <c:v>1728</c:v>
                </c:pt>
                <c:pt idx="108">
                  <c:v>1744</c:v>
                </c:pt>
                <c:pt idx="109">
                  <c:v>1760</c:v>
                </c:pt>
                <c:pt idx="110">
                  <c:v>1776</c:v>
                </c:pt>
                <c:pt idx="111">
                  <c:v>1792</c:v>
                </c:pt>
                <c:pt idx="112">
                  <c:v>1808</c:v>
                </c:pt>
                <c:pt idx="113">
                  <c:v>1824</c:v>
                </c:pt>
                <c:pt idx="114">
                  <c:v>1840</c:v>
                </c:pt>
                <c:pt idx="115">
                  <c:v>1856</c:v>
                </c:pt>
                <c:pt idx="116">
                  <c:v>1872</c:v>
                </c:pt>
                <c:pt idx="117">
                  <c:v>1888</c:v>
                </c:pt>
                <c:pt idx="118">
                  <c:v>1904</c:v>
                </c:pt>
                <c:pt idx="119">
                  <c:v>1920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06357"/>
        <c:axId val="88422791"/>
      </c:lineChart>
      <c:catAx>
        <c:axId val="47063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Hold-Stufe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22791"/>
        <c:crosses val="autoZero"/>
        <c:auto val="1"/>
        <c:lblAlgn val="ctr"/>
        <c:lblOffset val="100"/>
        <c:noMultiLvlLbl val="0"/>
      </c:catAx>
      <c:valAx>
        <c:axId val="8842279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Wert (log)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63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Aufstiegs-Zyklen: Dauer bleibt stabil, Ertrag waechst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Aufstieg!H9</c:f>
              <c:strCache>
                <c:ptCount val="1"/>
                <c:pt idx="0">
                  <c:v>Dauer (h)</c:v>
                </c:pt>
              </c:strCache>
            </c:strRef>
          </c:tx>
          <c:spPr>
            <a:solidFill>
              <a:srgbClr val="c25e3a"/>
            </a:solidFill>
            <a:ln w="21960">
              <a:solidFill>
                <a:srgbClr val="c25e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Aufstieg!$A$10:$A$29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Aufstieg!$H$10:$H$29</c:f>
              <c:numCache>
                <c:formatCode>0.0</c:formatCode>
                <c:ptCount val="20"/>
                <c:pt idx="0">
                  <c:v>6</c:v>
                </c:pt>
                <c:pt idx="1">
                  <c:v>7.27291913354442</c:v>
                </c:pt>
                <c:pt idx="2">
                  <c:v>8.41153848733219</c:v>
                </c:pt>
                <c:pt idx="3">
                  <c:v>9.40224181902953</c:v>
                </c:pt>
                <c:pt idx="4">
                  <c:v>10.2365130540678</c:v>
                </c:pt>
                <c:pt idx="5">
                  <c:v>10.911483021983</c:v>
                </c:pt>
                <c:pt idx="6">
                  <c:v>11.4298911759219</c:v>
                </c:pt>
                <c:pt idx="7">
                  <c:v>11.7995170854655</c:v>
                </c:pt>
                <c:pt idx="8">
                  <c:v>12.0322204993369</c:v>
                </c:pt>
                <c:pt idx="9">
                  <c:v>11.7239150334204</c:v>
                </c:pt>
                <c:pt idx="10">
                  <c:v>11.4533616665344</c:v>
                </c:pt>
                <c:pt idx="11">
                  <c:v>11.2146660791552</c:v>
                </c:pt>
                <c:pt idx="12">
                  <c:v>11.0026530778364</c:v>
                </c:pt>
                <c:pt idx="13">
                  <c:v>10.8130359733033</c:v>
                </c:pt>
                <c:pt idx="14">
                  <c:v>10.6423281655963</c:v>
                </c:pt>
                <c:pt idx="15">
                  <c:v>10.4877025338958</c:v>
                </c:pt>
                <c:pt idx="16">
                  <c:v>10.3468589879879</c:v>
                </c:pt>
                <c:pt idx="17">
                  <c:v>10.2179146322478</c:v>
                </c:pt>
                <c:pt idx="18">
                  <c:v>10.0993167664764</c:v>
                </c:pt>
                <c:pt idx="19">
                  <c:v>9.98977513492811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427770"/>
        <c:axId val="78774020"/>
      </c:lineChart>
      <c:catAx>
        <c:axId val="724277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Zyklus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74020"/>
        <c:crosses val="autoZero"/>
        <c:auto val="1"/>
        <c:lblAlgn val="ctr"/>
        <c:lblOffset val="100"/>
        <c:noMultiLvlLbl val="0"/>
      </c:catAx>
      <c:valAx>
        <c:axId val="787740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Stunden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277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Aufstieg: gewonnene Splitter je Zyklus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Aufstieg!F9</c:f>
              <c:strCache>
                <c:ptCount val="1"/>
                <c:pt idx="0">
                  <c:v>Splitter dazu</c:v>
                </c:pt>
              </c:strCache>
            </c:strRef>
          </c:tx>
          <c:spPr>
            <a:solidFill>
              <a:srgbClr val="c25e3a"/>
            </a:solidFill>
            <a:ln w="21960">
              <a:solidFill>
                <a:srgbClr val="c25e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Aufstieg!$A$10:$A$29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Aufstieg!$F$10:$F$29</c:f>
              <c:numCache>
                <c:formatCode>#,##0.0</c:formatCode>
                <c:ptCount val="20"/>
                <c:pt idx="0">
                  <c:v>10</c:v>
                </c:pt>
                <c:pt idx="1">
                  <c:v>13.4164078649987</c:v>
                </c:pt>
                <c:pt idx="2">
                  <c:v>18.1761886926961</c:v>
                </c:pt>
                <c:pt idx="3">
                  <c:v>24.8646340565157</c:v>
                </c:pt>
                <c:pt idx="4">
                  <c:v>34.3384545366981</c:v>
                </c:pt>
                <c:pt idx="5">
                  <c:v>47.8561330262844</c:v>
                </c:pt>
                <c:pt idx="6">
                  <c:v>67.2721096209208</c:v>
                </c:pt>
                <c:pt idx="7">
                  <c:v>95.326382603276</c:v>
                </c:pt>
                <c:pt idx="8">
                  <c:v>136.076819025583</c:v>
                </c:pt>
                <c:pt idx="9">
                  <c:v>159.661832481439</c:v>
                </c:pt>
                <c:pt idx="10">
                  <c:v>183.509719154248</c:v>
                </c:pt>
                <c:pt idx="11">
                  <c:v>207.562337143344</c:v>
                </c:pt>
                <c:pt idx="12">
                  <c:v>231.778590814084</c:v>
                </c:pt>
                <c:pt idx="13">
                  <c:v>256.128441820164</c:v>
                </c:pt>
                <c:pt idx="14">
                  <c:v>280.589312618924</c:v>
                </c:pt>
                <c:pt idx="15">
                  <c:v>305.143829581535</c:v>
                </c:pt>
                <c:pt idx="16">
                  <c:v>329.778352736966</c:v>
                </c:pt>
                <c:pt idx="17">
                  <c:v>354.481986714498</c:v>
                </c:pt>
                <c:pt idx="18">
                  <c:v>379.245896635279</c:v>
                </c:pt>
                <c:pt idx="19">
                  <c:v>404.062823303285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426660"/>
        <c:axId val="34945856"/>
      </c:lineChart>
      <c:catAx>
        <c:axId val="634266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Zyklus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45856"/>
        <c:crosses val="autoZero"/>
        <c:auto val="1"/>
        <c:lblAlgn val="ctr"/>
        <c:lblOffset val="100"/>
        <c:noMultiLvlLbl val="0"/>
      </c:catAx>
      <c:valAx>
        <c:axId val="34945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Splitter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266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Tier-Skalierung: Macht schlaegt HP, Belohnung schlaegt beides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Territorien!B4</c:f>
              <c:strCache>
                <c:ptCount val="1"/>
                <c:pt idx="0">
                  <c:v>Gegner-HP</c:v>
                </c:pt>
              </c:strCache>
            </c:strRef>
          </c:tx>
          <c:spPr>
            <a:solidFill>
              <a:srgbClr val="c25e3a"/>
            </a:solidFill>
            <a:ln w="21960">
              <a:solidFill>
                <a:srgbClr val="c25e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Territorien!$A$5:$A$15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Territorien!$B$5:$B$15</c:f>
              <c:numCache>
                <c:formatCode>0.00</c:formatCode>
                <c:ptCount val="11"/>
                <c:pt idx="0">
                  <c:v>1</c:v>
                </c:pt>
                <c:pt idx="1">
                  <c:v>1.35</c:v>
                </c:pt>
                <c:pt idx="2">
                  <c:v>1.8225</c:v>
                </c:pt>
                <c:pt idx="3">
                  <c:v>2.460375</c:v>
                </c:pt>
                <c:pt idx="4">
                  <c:v>3.32150625</c:v>
                </c:pt>
                <c:pt idx="5">
                  <c:v>4.4840334375</c:v>
                </c:pt>
                <c:pt idx="6">
                  <c:v>6.053445140625</c:v>
                </c:pt>
                <c:pt idx="7">
                  <c:v>8.17215093984375</c:v>
                </c:pt>
                <c:pt idx="8">
                  <c:v>11.0324037687891</c:v>
                </c:pt>
                <c:pt idx="9">
                  <c:v>14.8937450878652</c:v>
                </c:pt>
                <c:pt idx="10">
                  <c:v>20.1065558686181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Territorien!F4</c:f>
              <c:strCache>
                <c:ptCount val="1"/>
                <c:pt idx="0">
                  <c:v>Spielermacht gesamt</c:v>
                </c:pt>
              </c:strCache>
            </c:strRef>
          </c:tx>
          <c:spPr>
            <a:solidFill>
              <a:srgbClr val="3a6ea5"/>
            </a:solidFill>
            <a:ln w="21960">
              <a:solidFill>
                <a:srgbClr val="3a6e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Territorien!$A$5:$A$15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Territorien!$F$5:$F$15</c:f>
              <c:numCache>
                <c:formatCode>0.00</c:formatCode>
                <c:ptCount val="11"/>
                <c:pt idx="0">
                  <c:v>1</c:v>
                </c:pt>
                <c:pt idx="1">
                  <c:v>1.519616</c:v>
                </c:pt>
                <c:pt idx="2">
                  <c:v>2.2827237376</c:v>
                </c:pt>
                <c:pt idx="3">
                  <c:v>3.39692855754752</c:v>
                </c:pt>
                <c:pt idx="4">
                  <c:v>5.01562496101699</c:v>
                </c:pt>
                <c:pt idx="5">
                  <c:v>7.35697291579227</c:v>
                </c:pt>
                <c:pt idx="6">
                  <c:v>10.730586416058</c:v>
                </c:pt>
                <c:pt idx="7">
                  <c:v>15.5750219504219</c:v>
                </c:pt>
                <c:pt idx="8">
                  <c:v>22.5103760724846</c:v>
                </c:pt>
                <c:pt idx="9">
                  <c:v>32.4120014136255</c:v>
                </c:pt>
                <c:pt idx="10">
                  <c:v>46.5137152594306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Territorien!G4</c:f>
              <c:strCache>
                <c:ptCount val="1"/>
                <c:pt idx="0">
                  <c:v>Machtquote</c:v>
                </c:pt>
              </c:strCache>
            </c:strRef>
          </c:tx>
          <c:spPr>
            <a:solidFill>
              <a:srgbClr val="6b8f4e"/>
            </a:solidFill>
            <a:ln w="21960">
              <a:solidFill>
                <a:srgbClr val="6b8f4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Territorien!$A$5:$A$15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Territorien!$G$5:$G$15</c:f>
              <c:numCache>
                <c:formatCode>0.00</c:formatCode>
                <c:ptCount val="11"/>
                <c:pt idx="0">
                  <c:v>1</c:v>
                </c:pt>
                <c:pt idx="1">
                  <c:v>1.12564148148148</c:v>
                </c:pt>
                <c:pt idx="2">
                  <c:v>1.25252331281207</c:v>
                </c:pt>
                <c:pt idx="3">
                  <c:v>1.38065480162476</c:v>
                </c:pt>
                <c:pt idx="4">
                  <c:v>1.51004531784849</c:v>
                </c:pt>
                <c:pt idx="5">
                  <c:v>1.64070429409956</c:v>
                </c:pt>
                <c:pt idx="6">
                  <c:v>1.77264122607545</c:v>
                </c:pt>
                <c:pt idx="7">
                  <c:v>1.90586567295094</c:v>
                </c:pt>
                <c:pt idx="8">
                  <c:v>2.04038725777668</c:v>
                </c:pt>
                <c:pt idx="9">
                  <c:v>2.17621566788016</c:v>
                </c:pt>
                <c:pt idx="10">
                  <c:v>2.31336065526908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Territorien!H4</c:f>
              <c:strCache>
                <c:ptCount val="1"/>
                <c:pt idx="0">
                  <c:v>Belohnung</c:v>
                </c:pt>
              </c:strCache>
            </c:strRef>
          </c:tx>
          <c:spPr>
            <a:solidFill>
              <a:srgbClr val="8a6ba8"/>
            </a:solidFill>
            <a:ln w="21960">
              <a:solidFill>
                <a:srgbClr val="8a6b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Territorien!$A$5:$A$15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Territorien!$H$5:$H$15</c:f>
              <c:numCache>
                <c:formatCode>0.00</c:formatCode>
                <c:ptCount val="11"/>
                <c:pt idx="0">
                  <c:v>1</c:v>
                </c:pt>
                <c:pt idx="1">
                  <c:v>1.38</c:v>
                </c:pt>
                <c:pt idx="2">
                  <c:v>1.9044</c:v>
                </c:pt>
                <c:pt idx="3">
                  <c:v>2.628072</c:v>
                </c:pt>
                <c:pt idx="4">
                  <c:v>3.62673936</c:v>
                </c:pt>
                <c:pt idx="5">
                  <c:v>5.0049003168</c:v>
                </c:pt>
                <c:pt idx="6">
                  <c:v>6.906762437184</c:v>
                </c:pt>
                <c:pt idx="7">
                  <c:v>9.53133216331391</c:v>
                </c:pt>
                <c:pt idx="8">
                  <c:v>13.1532383853732</c:v>
                </c:pt>
                <c:pt idx="9">
                  <c:v>18.151468971815</c:v>
                </c:pt>
                <c:pt idx="10">
                  <c:v>25.0490271811047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877878"/>
        <c:axId val="87240949"/>
      </c:lineChart>
      <c:catAx>
        <c:axId val="608778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40949"/>
        <c:crosses val="autoZero"/>
        <c:auto val="1"/>
        <c:lblAlgn val="ctr"/>
        <c:lblOffset val="100"/>
        <c:noMultiLvlLbl val="0"/>
      </c:catAx>
      <c:valAx>
        <c:axId val="87240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Faktor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77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Monatsumsatz nach DAU (Basis-Szenario)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Monetarisierung!B30</c:f>
              <c:strCache>
                <c:ptCount val="1"/>
                <c:pt idx="0">
                  <c:v>Umsatz / Monat</c:v>
                </c:pt>
              </c:strCache>
            </c:strRef>
          </c:tx>
          <c:spPr>
            <a:solidFill>
              <a:srgbClr val="c25e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Monetarisierung!$A$31:$A$35</c:f>
              <c:strCache>
                <c:ptCount val="5"/>
                <c:pt idx="0">
                  <c:v>5,000</c:v>
                </c:pt>
                <c:pt idx="1">
                  <c:v>25,000</c:v>
                </c:pt>
                <c:pt idx="2">
                  <c:v>100,000</c:v>
                </c:pt>
                <c:pt idx="3">
                  <c:v>400,000</c:v>
                </c:pt>
                <c:pt idx="4">
                  <c:v>1,000,000</c:v>
                </c:pt>
              </c:strCache>
            </c:strRef>
          </c:cat>
          <c:val>
            <c:numRef>
              <c:f>Monetarisierung!$B$31:$B$35</c:f>
              <c:numCache>
                <c:formatCode>\$#,##0</c:formatCode>
                <c:ptCount val="5"/>
                <c:pt idx="0">
                  <c:v>9834.83928571429</c:v>
                </c:pt>
                <c:pt idx="1">
                  <c:v>49174.1964285714</c:v>
                </c:pt>
                <c:pt idx="2">
                  <c:v>196696.785714286</c:v>
                </c:pt>
                <c:pt idx="3">
                  <c:v>786787.142857143</c:v>
                </c:pt>
                <c:pt idx="4">
                  <c:v>1966967.85714286</c:v>
                </c:pt>
              </c:numCache>
            </c:numRef>
          </c:val>
        </c:ser>
        <c:gapWidth val="150"/>
        <c:overlap val="0"/>
        <c:axId val="84541967"/>
        <c:axId val="70763334"/>
      </c:barChart>
      <c:catAx>
        <c:axId val="845419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63334"/>
        <c:crosses val="autoZero"/>
        <c:auto val="1"/>
        <c:lblAlgn val="ctr"/>
        <c:lblOffset val="100"/>
        <c:noMultiLvlLbl val="0"/>
      </c:catAx>
      <c:valAx>
        <c:axId val="70763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/ Monat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419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21</xdr:col>
      <xdr:colOff>581760</xdr:colOff>
      <xdr:row>21</xdr:row>
      <xdr:rowOff>159120</xdr:rowOff>
    </xdr:to>
    <xdr:graphicFrame>
      <xdr:nvGraphicFramePr>
        <xdr:cNvPr id="0" name="Chart 1"/>
        <xdr:cNvGraphicFramePr/>
      </xdr:nvGraphicFramePr>
      <xdr:xfrm>
        <a:off x="9774720" y="571680"/>
        <a:ext cx="791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160560</xdr:rowOff>
    </xdr:from>
    <xdr:to>
      <xdr:col>21</xdr:col>
      <xdr:colOff>581760</xdr:colOff>
      <xdr:row>44</xdr:row>
      <xdr:rowOff>130320</xdr:rowOff>
    </xdr:to>
    <xdr:graphicFrame>
      <xdr:nvGraphicFramePr>
        <xdr:cNvPr id="1" name="Chart 2"/>
        <xdr:cNvGraphicFramePr/>
      </xdr:nvGraphicFramePr>
      <xdr:xfrm>
        <a:off x="9774720" y="4924440"/>
        <a:ext cx="791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7</xdr:row>
      <xdr:rowOff>160560</xdr:rowOff>
    </xdr:from>
    <xdr:to>
      <xdr:col>21</xdr:col>
      <xdr:colOff>473040</xdr:colOff>
      <xdr:row>23</xdr:row>
      <xdr:rowOff>190080</xdr:rowOff>
    </xdr:to>
    <xdr:graphicFrame>
      <xdr:nvGraphicFramePr>
        <xdr:cNvPr id="2" name="Chart 1"/>
        <xdr:cNvGraphicFramePr/>
      </xdr:nvGraphicFramePr>
      <xdr:xfrm>
        <a:off x="10409040" y="1523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27</xdr:row>
      <xdr:rowOff>160560</xdr:rowOff>
    </xdr:from>
    <xdr:to>
      <xdr:col>21</xdr:col>
      <xdr:colOff>473040</xdr:colOff>
      <xdr:row>44</xdr:row>
      <xdr:rowOff>161640</xdr:rowOff>
    </xdr:to>
    <xdr:graphicFrame>
      <xdr:nvGraphicFramePr>
        <xdr:cNvPr id="3" name="Chart 2"/>
        <xdr:cNvGraphicFramePr/>
      </xdr:nvGraphicFramePr>
      <xdr:xfrm>
        <a:off x="10409040" y="54957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160920</xdr:rowOff>
    </xdr:from>
    <xdr:to>
      <xdr:col>22</xdr:col>
      <xdr:colOff>581400</xdr:colOff>
      <xdr:row>22</xdr:row>
      <xdr:rowOff>148680</xdr:rowOff>
    </xdr:to>
    <xdr:graphicFrame>
      <xdr:nvGraphicFramePr>
        <xdr:cNvPr id="4" name="Chart 1"/>
        <xdr:cNvGraphicFramePr/>
      </xdr:nvGraphicFramePr>
      <xdr:xfrm>
        <a:off x="9492480" y="5716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27</xdr:row>
      <xdr:rowOff>160560</xdr:rowOff>
    </xdr:from>
    <xdr:to>
      <xdr:col>16</xdr:col>
      <xdr:colOff>473040</xdr:colOff>
      <xdr:row>45</xdr:row>
      <xdr:rowOff>7200</xdr:rowOff>
    </xdr:to>
    <xdr:graphicFrame>
      <xdr:nvGraphicFramePr>
        <xdr:cNvPr id="5" name="Chart 1"/>
        <xdr:cNvGraphicFramePr/>
      </xdr:nvGraphicFramePr>
      <xdr:xfrm>
        <a:off x="6532200" y="54957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15" hidden="false" customHeight="false" outlineLevel="0" collapsed="false">
      <c r="A7" s="7" t="s">
        <v>7</v>
      </c>
      <c r="B7" s="5" t="s">
        <v>8</v>
      </c>
    </row>
    <row r="9" customFormat="false" ht="15" hidden="false" customHeight="false" outlineLevel="0" collapsed="false">
      <c r="A9" s="8" t="s">
        <v>9</v>
      </c>
      <c r="B9" s="9"/>
      <c r="C9" s="9"/>
      <c r="D9" s="9"/>
    </row>
    <row r="10" customFormat="false" ht="15" hidden="false" customHeight="false" outlineLevel="0" collapsed="false">
      <c r="A10" s="6" t="s">
        <v>10</v>
      </c>
      <c r="C10" s="10" t="n">
        <v>1.11</v>
      </c>
      <c r="D10" s="11" t="s">
        <v>11</v>
      </c>
    </row>
    <row r="11" customFormat="false" ht="15" hidden="false" customHeight="false" outlineLevel="0" collapsed="false">
      <c r="A11" s="6" t="s">
        <v>12</v>
      </c>
      <c r="C11" s="12" t="n">
        <v>15</v>
      </c>
      <c r="D11" s="11" t="s">
        <v>13</v>
      </c>
    </row>
    <row r="12" customFormat="false" ht="15" hidden="false" customHeight="false" outlineLevel="0" collapsed="false">
      <c r="A12" s="6" t="s">
        <v>14</v>
      </c>
      <c r="C12" s="13" t="n">
        <v>1</v>
      </c>
      <c r="D12" s="11" t="s">
        <v>15</v>
      </c>
    </row>
    <row r="13" customFormat="false" ht="15" hidden="false" customHeight="false" outlineLevel="0" collapsed="false">
      <c r="A13" s="6" t="s">
        <v>16</v>
      </c>
      <c r="C13" s="14" t="n">
        <v>25</v>
      </c>
      <c r="D13" s="11" t="s">
        <v>17</v>
      </c>
    </row>
    <row r="14" customFormat="false" ht="15" hidden="false" customHeight="false" outlineLevel="0" collapsed="false">
      <c r="A14" s="6" t="s">
        <v>18</v>
      </c>
      <c r="C14" s="15" t="n">
        <v>2</v>
      </c>
      <c r="D14" s="11" t="s">
        <v>19</v>
      </c>
    </row>
    <row r="15" customFormat="false" ht="15" hidden="false" customHeight="false" outlineLevel="0" collapsed="false">
      <c r="A15" s="6" t="s">
        <v>20</v>
      </c>
      <c r="C15" s="14" t="n">
        <v>6</v>
      </c>
      <c r="D15" s="11" t="s">
        <v>21</v>
      </c>
    </row>
    <row r="16" customFormat="false" ht="15" hidden="false" customHeight="false" outlineLevel="0" collapsed="false">
      <c r="A16" s="6" t="s">
        <v>22</v>
      </c>
      <c r="C16" s="16" t="n">
        <v>0.6</v>
      </c>
      <c r="D16" s="11" t="s">
        <v>23</v>
      </c>
    </row>
    <row r="18" customFormat="false" ht="15" hidden="false" customHeight="false" outlineLevel="0" collapsed="false">
      <c r="A18" s="8" t="s">
        <v>24</v>
      </c>
      <c r="B18" s="9"/>
      <c r="C18" s="9"/>
      <c r="D18" s="9"/>
    </row>
    <row r="19" customFormat="false" ht="15" hidden="false" customHeight="false" outlineLevel="0" collapsed="false">
      <c r="A19" s="6" t="s">
        <v>25</v>
      </c>
      <c r="C19" s="15" t="n">
        <v>10</v>
      </c>
      <c r="D19" s="11" t="s">
        <v>26</v>
      </c>
    </row>
    <row r="20" customFormat="false" ht="15" hidden="false" customHeight="false" outlineLevel="0" collapsed="false">
      <c r="A20" s="6" t="s">
        <v>27</v>
      </c>
      <c r="C20" s="12" t="n">
        <v>10000</v>
      </c>
      <c r="D20" s="11" t="s">
        <v>28</v>
      </c>
    </row>
    <row r="21" customFormat="false" ht="15" hidden="false" customHeight="false" outlineLevel="0" collapsed="false">
      <c r="A21" s="6" t="s">
        <v>29</v>
      </c>
      <c r="C21" s="16" t="n">
        <v>0.02</v>
      </c>
      <c r="D21" s="11" t="s">
        <v>30</v>
      </c>
    </row>
    <row r="22" customFormat="false" ht="15" hidden="false" customHeight="false" outlineLevel="0" collapsed="false">
      <c r="A22" s="6" t="s">
        <v>31</v>
      </c>
      <c r="C22" s="14" t="n">
        <v>60</v>
      </c>
      <c r="D22" s="11" t="s">
        <v>32</v>
      </c>
    </row>
    <row r="24" customFormat="false" ht="15" hidden="false" customHeight="false" outlineLevel="0" collapsed="false">
      <c r="A24" s="8" t="s">
        <v>33</v>
      </c>
      <c r="B24" s="9"/>
      <c r="C24" s="9"/>
      <c r="D24" s="9"/>
    </row>
    <row r="25" customFormat="false" ht="15" hidden="false" customHeight="false" outlineLevel="0" collapsed="false">
      <c r="A25" s="6" t="s">
        <v>34</v>
      </c>
      <c r="C25" s="10" t="n">
        <v>1.35</v>
      </c>
      <c r="D25" s="11"/>
    </row>
    <row r="26" customFormat="false" ht="15" hidden="false" customHeight="false" outlineLevel="0" collapsed="false">
      <c r="A26" s="6" t="s">
        <v>35</v>
      </c>
      <c r="C26" s="10" t="n">
        <v>1.38</v>
      </c>
      <c r="D26" s="11" t="s">
        <v>36</v>
      </c>
    </row>
    <row r="27" customFormat="false" ht="15" hidden="false" customHeight="false" outlineLevel="0" collapsed="false">
      <c r="A27" s="6" t="s">
        <v>37</v>
      </c>
      <c r="C27" s="10" t="n">
        <v>1.28</v>
      </c>
      <c r="D27" s="11"/>
    </row>
    <row r="28" customFormat="false" ht="15" hidden="false" customHeight="false" outlineLevel="0" collapsed="false">
      <c r="A28" s="6" t="s">
        <v>38</v>
      </c>
      <c r="C28" s="10" t="n">
        <v>1.06</v>
      </c>
      <c r="D28" s="11"/>
    </row>
    <row r="29" customFormat="false" ht="15" hidden="false" customHeight="false" outlineLevel="0" collapsed="false">
      <c r="A29" s="6" t="s">
        <v>39</v>
      </c>
      <c r="C29" s="16" t="n">
        <v>0.12</v>
      </c>
      <c r="D29" s="11" t="s">
        <v>40</v>
      </c>
    </row>
    <row r="31" customFormat="false" ht="15" hidden="false" customHeight="false" outlineLevel="0" collapsed="false">
      <c r="A31" s="8" t="s">
        <v>41</v>
      </c>
      <c r="B31" s="9"/>
      <c r="C31" s="9"/>
      <c r="D31" s="9"/>
    </row>
    <row r="32" customFormat="false" ht="15" hidden="false" customHeight="false" outlineLevel="0" collapsed="false">
      <c r="A32" s="6" t="s">
        <v>42</v>
      </c>
      <c r="C32" s="12" t="n">
        <v>340</v>
      </c>
      <c r="D32" s="11" t="s">
        <v>43</v>
      </c>
    </row>
    <row r="33" customFormat="false" ht="15" hidden="false" customHeight="false" outlineLevel="0" collapsed="false">
      <c r="A33" s="6" t="s">
        <v>44</v>
      </c>
      <c r="C33" s="10" t="n">
        <v>0.799</v>
      </c>
      <c r="D33" s="11" t="s">
        <v>45</v>
      </c>
    </row>
    <row r="34" customFormat="false" ht="15" hidden="false" customHeight="false" outlineLevel="0" collapsed="false">
      <c r="A34" s="6" t="s">
        <v>46</v>
      </c>
      <c r="C34" s="15" t="n">
        <v>8.6</v>
      </c>
      <c r="D34" s="11"/>
    </row>
    <row r="35" customFormat="false" ht="15" hidden="false" customHeight="false" outlineLevel="0" collapsed="false">
      <c r="A35" s="6" t="s">
        <v>47</v>
      </c>
      <c r="C35" s="15" t="n">
        <v>4.4</v>
      </c>
      <c r="D35" s="11" t="s">
        <v>48</v>
      </c>
    </row>
    <row r="36" customFormat="false" ht="15" hidden="false" customHeight="false" outlineLevel="0" collapsed="false">
      <c r="A36" s="6" t="s">
        <v>49</v>
      </c>
      <c r="C36" s="15" t="n">
        <v>8</v>
      </c>
      <c r="D36" s="11"/>
    </row>
    <row r="37" customFormat="false" ht="15" hidden="false" customHeight="false" outlineLevel="0" collapsed="false">
      <c r="A37" s="6" t="s">
        <v>50</v>
      </c>
      <c r="C37" s="14" t="n">
        <v>6</v>
      </c>
      <c r="D37" s="11"/>
    </row>
    <row r="38" customFormat="false" ht="15" hidden="false" customHeight="false" outlineLevel="0" collapsed="false">
      <c r="A38" s="6" t="s">
        <v>51</v>
      </c>
      <c r="C38" s="14" t="n">
        <v>6</v>
      </c>
      <c r="D38" s="11"/>
    </row>
    <row r="39" customFormat="false" ht="15" hidden="false" customHeight="false" outlineLevel="0" collapsed="false">
      <c r="A39" s="6" t="s">
        <v>52</v>
      </c>
      <c r="C39" s="14" t="n">
        <v>5</v>
      </c>
      <c r="D39" s="11"/>
    </row>
    <row r="41" customFormat="false" ht="15" hidden="false" customHeight="false" outlineLevel="0" collapsed="false">
      <c r="A41" s="8" t="s">
        <v>53</v>
      </c>
      <c r="B41" s="9"/>
      <c r="C41" s="9"/>
      <c r="D41" s="9"/>
    </row>
    <row r="42" customFormat="false" ht="15" hidden="false" customHeight="false" outlineLevel="0" collapsed="false">
      <c r="A42" s="6" t="s">
        <v>54</v>
      </c>
      <c r="C42" s="15" t="n">
        <v>6</v>
      </c>
      <c r="D42" s="11"/>
    </row>
    <row r="43" customFormat="false" ht="15" hidden="false" customHeight="false" outlineLevel="0" collapsed="false">
      <c r="A43" s="6" t="s">
        <v>55</v>
      </c>
      <c r="C43" s="17" t="n">
        <v>3.02</v>
      </c>
      <c r="D43" s="11" t="s">
        <v>56</v>
      </c>
    </row>
    <row r="44" customFormat="false" ht="15" hidden="false" customHeight="false" outlineLevel="0" collapsed="false">
      <c r="A44" s="6" t="s">
        <v>57</v>
      </c>
      <c r="C44" s="15" t="n">
        <v>3.2</v>
      </c>
      <c r="D44" s="11"/>
    </row>
    <row r="45" customFormat="false" ht="15" hidden="false" customHeight="false" outlineLevel="0" collapsed="false">
      <c r="A45" s="6" t="s">
        <v>58</v>
      </c>
      <c r="C45" s="17" t="n">
        <v>6.5</v>
      </c>
      <c r="D45" s="11"/>
    </row>
    <row r="46" customFormat="false" ht="15" hidden="false" customHeight="false" outlineLevel="0" collapsed="false">
      <c r="A46" s="6" t="s">
        <v>59</v>
      </c>
      <c r="C46" s="16" t="n">
        <v>0.028</v>
      </c>
      <c r="D46" s="11"/>
    </row>
    <row r="47" customFormat="false" ht="15" hidden="false" customHeight="false" outlineLevel="0" collapsed="false">
      <c r="A47" s="6" t="s">
        <v>60</v>
      </c>
      <c r="C47" s="17" t="n">
        <v>14</v>
      </c>
      <c r="D47" s="11"/>
    </row>
    <row r="48" customFormat="false" ht="15" hidden="false" customHeight="false" outlineLevel="0" collapsed="false">
      <c r="A48" s="6" t="s">
        <v>61</v>
      </c>
      <c r="C48" s="16" t="n">
        <v>0.065</v>
      </c>
      <c r="D48" s="11"/>
    </row>
    <row r="49" customFormat="false" ht="15" hidden="false" customHeight="false" outlineLevel="0" collapsed="false">
      <c r="A49" s="6" t="s">
        <v>62</v>
      </c>
      <c r="C49" s="17" t="n">
        <v>4.99</v>
      </c>
      <c r="D49" s="11"/>
    </row>
    <row r="50" customFormat="false" ht="15" hidden="false" customHeight="false" outlineLevel="0" collapsed="false">
      <c r="A50" s="6" t="s">
        <v>63</v>
      </c>
      <c r="C50" s="14" t="n">
        <v>28</v>
      </c>
      <c r="D50" s="11"/>
    </row>
    <row r="51" customFormat="false" ht="15" hidden="false" customHeight="false" outlineLevel="0" collapsed="false">
      <c r="A51" s="6" t="s">
        <v>64</v>
      </c>
      <c r="C51" s="16" t="n">
        <v>0.015</v>
      </c>
      <c r="D51" s="11"/>
    </row>
    <row r="52" customFormat="false" ht="15" hidden="false" customHeight="false" outlineLevel="0" collapsed="false">
      <c r="A52" s="6" t="s">
        <v>65</v>
      </c>
      <c r="C52" s="17" t="n">
        <v>3.99</v>
      </c>
      <c r="D52" s="11"/>
    </row>
    <row r="53" customFormat="false" ht="15" hidden="false" customHeight="false" outlineLevel="0" collapsed="false">
      <c r="A53" s="6" t="s">
        <v>66</v>
      </c>
      <c r="C53" s="16" t="n">
        <v>0.38</v>
      </c>
      <c r="D53" s="11" t="s">
        <v>67</v>
      </c>
    </row>
    <row r="54" customFormat="false" ht="15" hidden="false" customHeight="false" outlineLevel="0" collapsed="false">
      <c r="A54" s="6" t="s">
        <v>68</v>
      </c>
      <c r="C54" s="16" t="n">
        <v>0.18</v>
      </c>
      <c r="D54" s="11" t="s">
        <v>69</v>
      </c>
    </row>
    <row r="55" customFormat="false" ht="15" hidden="false" customHeight="false" outlineLevel="0" collapsed="false">
      <c r="A55" s="6" t="s">
        <v>70</v>
      </c>
      <c r="C55" s="16" t="n">
        <v>0.08</v>
      </c>
      <c r="D55" s="11" t="s">
        <v>71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18" t="s">
        <v>74</v>
      </c>
      <c r="B4" s="18" t="s">
        <v>75</v>
      </c>
      <c r="C4" s="18" t="s">
        <v>76</v>
      </c>
      <c r="D4" s="18" t="s">
        <v>77</v>
      </c>
      <c r="E4" s="18" t="s">
        <v>78</v>
      </c>
      <c r="F4" s="18" t="s">
        <v>79</v>
      </c>
      <c r="G4" s="18" t="s">
        <v>80</v>
      </c>
      <c r="H4" s="18" t="s">
        <v>81</v>
      </c>
    </row>
    <row r="5" customFormat="false" ht="15" hidden="false" customHeight="false" outlineLevel="0" collapsed="false">
      <c r="A5" s="6" t="n">
        <v>1</v>
      </c>
      <c r="B5" s="19" t="n">
        <f aca="false">Stellschrauben!$C$11*Stellschrauben!$C$10^A5</f>
        <v>16.65</v>
      </c>
      <c r="C5" s="20" t="n">
        <f aca="false">Stellschrauben!$C$12*A5*Stellschrauben!$C$14^INT(A5/Stellschrauben!$C$13)</f>
        <v>1</v>
      </c>
      <c r="D5" s="20" t="n">
        <f aca="false">C5</f>
        <v>1</v>
      </c>
      <c r="E5" s="20" t="n">
        <f aca="false">IFERROR(B5/D5,"")</f>
        <v>16.65</v>
      </c>
      <c r="F5" s="20" t="n">
        <f aca="false">Stellschrauben!$C$15*C5*Stellschrauben!$C$16</f>
        <v>3.6</v>
      </c>
      <c r="G5" s="20" t="n">
        <f aca="false">IFERROR(B5/F5,"")</f>
        <v>4.625</v>
      </c>
      <c r="H5" s="6" t="str">
        <f aca="false">IF(G5&lt;3,"aktive Schleife",IF(G5&lt;10,"Idle-Pause",IF(G5&lt;30,"zäh","WALL")))</f>
        <v>Idle-Pause</v>
      </c>
    </row>
    <row r="6" customFormat="false" ht="15" hidden="false" customHeight="false" outlineLevel="0" collapsed="false">
      <c r="A6" s="6" t="n">
        <v>2</v>
      </c>
      <c r="B6" s="19" t="n">
        <f aca="false">Stellschrauben!$C$11*Stellschrauben!$C$10^A6</f>
        <v>18.4815</v>
      </c>
      <c r="C6" s="20" t="n">
        <f aca="false">Stellschrauben!$C$12*A6*Stellschrauben!$C$14^INT(A6/Stellschrauben!$C$13)</f>
        <v>2</v>
      </c>
      <c r="D6" s="20" t="n">
        <f aca="false">C6-C5</f>
        <v>1</v>
      </c>
      <c r="E6" s="20" t="n">
        <f aca="false">IFERROR(B6/D6,"")</f>
        <v>18.4815</v>
      </c>
      <c r="F6" s="20" t="n">
        <f aca="false">Stellschrauben!$C$15*C6*Stellschrauben!$C$16</f>
        <v>7.2</v>
      </c>
      <c r="G6" s="20" t="n">
        <f aca="false">IFERROR(B6/F6,"")</f>
        <v>2.566875</v>
      </c>
      <c r="H6" s="6" t="str">
        <f aca="false">IF(G6&lt;3,"aktive Schleife",IF(G6&lt;10,"Idle-Pause",IF(G6&lt;30,"zäh","WALL")))</f>
        <v>aktive Schleife</v>
      </c>
    </row>
    <row r="7" customFormat="false" ht="15" hidden="false" customHeight="false" outlineLevel="0" collapsed="false">
      <c r="A7" s="6" t="n">
        <v>3</v>
      </c>
      <c r="B7" s="19" t="n">
        <f aca="false">Stellschrauben!$C$11*Stellschrauben!$C$10^A7</f>
        <v>20.514465</v>
      </c>
      <c r="C7" s="20" t="n">
        <f aca="false">Stellschrauben!$C$12*A7*Stellschrauben!$C$14^INT(A7/Stellschrauben!$C$13)</f>
        <v>3</v>
      </c>
      <c r="D7" s="20" t="n">
        <f aca="false">C7-C6</f>
        <v>1</v>
      </c>
      <c r="E7" s="20" t="n">
        <f aca="false">IFERROR(B7/D7,"")</f>
        <v>20.514465</v>
      </c>
      <c r="F7" s="20" t="n">
        <f aca="false">Stellschrauben!$C$15*C7*Stellschrauben!$C$16</f>
        <v>10.8</v>
      </c>
      <c r="G7" s="20" t="n">
        <f aca="false">IFERROR(B7/F7,"")</f>
        <v>1.8994875</v>
      </c>
      <c r="H7" s="6" t="str">
        <f aca="false">IF(G7&lt;3,"aktive Schleife",IF(G7&lt;10,"Idle-Pause",IF(G7&lt;30,"zäh","WALL")))</f>
        <v>aktive Schleife</v>
      </c>
    </row>
    <row r="8" customFormat="false" ht="15" hidden="false" customHeight="false" outlineLevel="0" collapsed="false">
      <c r="A8" s="6" t="n">
        <v>4</v>
      </c>
      <c r="B8" s="19" t="n">
        <f aca="false">Stellschrauben!$C$11*Stellschrauben!$C$10^A8</f>
        <v>22.77105615</v>
      </c>
      <c r="C8" s="20" t="n">
        <f aca="false">Stellschrauben!$C$12*A8*Stellschrauben!$C$14^INT(A8/Stellschrauben!$C$13)</f>
        <v>4</v>
      </c>
      <c r="D8" s="20" t="n">
        <f aca="false">C8-C7</f>
        <v>1</v>
      </c>
      <c r="E8" s="20" t="n">
        <f aca="false">IFERROR(B8/D8,"")</f>
        <v>22.77105615</v>
      </c>
      <c r="F8" s="20" t="n">
        <f aca="false">Stellschrauben!$C$15*C8*Stellschrauben!$C$16</f>
        <v>14.4</v>
      </c>
      <c r="G8" s="20" t="n">
        <f aca="false">IFERROR(B8/F8,"")</f>
        <v>1.58132334375</v>
      </c>
      <c r="H8" s="6" t="str">
        <f aca="false">IF(G8&lt;3,"aktive Schleife",IF(G8&lt;10,"Idle-Pause",IF(G8&lt;30,"zäh","WALL")))</f>
        <v>aktive Schleife</v>
      </c>
    </row>
    <row r="9" customFormat="false" ht="15" hidden="false" customHeight="false" outlineLevel="0" collapsed="false">
      <c r="A9" s="6" t="n">
        <v>5</v>
      </c>
      <c r="B9" s="19" t="n">
        <f aca="false">Stellschrauben!$C$11*Stellschrauben!$C$10^A9</f>
        <v>25.2758723265</v>
      </c>
      <c r="C9" s="20" t="n">
        <f aca="false">Stellschrauben!$C$12*A9*Stellschrauben!$C$14^INT(A9/Stellschrauben!$C$13)</f>
        <v>5</v>
      </c>
      <c r="D9" s="20" t="n">
        <f aca="false">C9-C8</f>
        <v>1</v>
      </c>
      <c r="E9" s="20" t="n">
        <f aca="false">IFERROR(B9/D9,"")</f>
        <v>25.2758723265</v>
      </c>
      <c r="F9" s="20" t="n">
        <f aca="false">Stellschrauben!$C$15*C9*Stellschrauben!$C$16</f>
        <v>18</v>
      </c>
      <c r="G9" s="20" t="n">
        <f aca="false">IFERROR(B9/F9,"")</f>
        <v>1.40421512925</v>
      </c>
      <c r="H9" s="6" t="str">
        <f aca="false">IF(G9&lt;3,"aktive Schleife",IF(G9&lt;10,"Idle-Pause",IF(G9&lt;30,"zäh","WALL")))</f>
        <v>aktive Schleife</v>
      </c>
    </row>
    <row r="10" customFormat="false" ht="15" hidden="false" customHeight="false" outlineLevel="0" collapsed="false">
      <c r="A10" s="6" t="n">
        <v>6</v>
      </c>
      <c r="B10" s="19" t="n">
        <f aca="false">Stellschrauben!$C$11*Stellschrauben!$C$10^A10</f>
        <v>28.056218282415</v>
      </c>
      <c r="C10" s="20" t="n">
        <f aca="false">Stellschrauben!$C$12*A10*Stellschrauben!$C$14^INT(A10/Stellschrauben!$C$13)</f>
        <v>6</v>
      </c>
      <c r="D10" s="20" t="n">
        <f aca="false">C10-C9</f>
        <v>1</v>
      </c>
      <c r="E10" s="20" t="n">
        <f aca="false">IFERROR(B10/D10,"")</f>
        <v>28.056218282415</v>
      </c>
      <c r="F10" s="20" t="n">
        <f aca="false">Stellschrauben!$C$15*C10*Stellschrauben!$C$16</f>
        <v>21.6</v>
      </c>
      <c r="G10" s="20" t="n">
        <f aca="false">IFERROR(B10/F10,"")</f>
        <v>1.29889899455625</v>
      </c>
      <c r="H10" s="6" t="str">
        <f aca="false">IF(G10&lt;3,"aktive Schleife",IF(G10&lt;10,"Idle-Pause",IF(G10&lt;30,"zäh","WALL")))</f>
        <v>aktive Schleife</v>
      </c>
    </row>
    <row r="11" customFormat="false" ht="15" hidden="false" customHeight="false" outlineLevel="0" collapsed="false">
      <c r="A11" s="6" t="n">
        <v>7</v>
      </c>
      <c r="B11" s="19" t="n">
        <f aca="false">Stellschrauben!$C$11*Stellschrauben!$C$10^A11</f>
        <v>31.1424022934807</v>
      </c>
      <c r="C11" s="20" t="n">
        <f aca="false">Stellschrauben!$C$12*A11*Stellschrauben!$C$14^INT(A11/Stellschrauben!$C$13)</f>
        <v>7</v>
      </c>
      <c r="D11" s="20" t="n">
        <f aca="false">C11-C10</f>
        <v>1</v>
      </c>
      <c r="E11" s="20" t="n">
        <f aca="false">IFERROR(B11/D11,"")</f>
        <v>31.1424022934807</v>
      </c>
      <c r="F11" s="20" t="n">
        <f aca="false">Stellschrauben!$C$15*C11*Stellschrauben!$C$16</f>
        <v>25.2</v>
      </c>
      <c r="G11" s="20" t="n">
        <f aca="false">IFERROR(B11/F11,"")</f>
        <v>1.23580961482066</v>
      </c>
      <c r="H11" s="6" t="str">
        <f aca="false">IF(G11&lt;3,"aktive Schleife",IF(G11&lt;10,"Idle-Pause",IF(G11&lt;30,"zäh","WALL")))</f>
        <v>aktive Schleife</v>
      </c>
    </row>
    <row r="12" customFormat="false" ht="15" hidden="false" customHeight="false" outlineLevel="0" collapsed="false">
      <c r="A12" s="6" t="n">
        <v>8</v>
      </c>
      <c r="B12" s="19" t="n">
        <f aca="false">Stellschrauben!$C$11*Stellschrauben!$C$10^A12</f>
        <v>34.5680665457635</v>
      </c>
      <c r="C12" s="20" t="n">
        <f aca="false">Stellschrauben!$C$12*A12*Stellschrauben!$C$14^INT(A12/Stellschrauben!$C$13)</f>
        <v>8</v>
      </c>
      <c r="D12" s="20" t="n">
        <f aca="false">C12-C11</f>
        <v>1</v>
      </c>
      <c r="E12" s="20" t="n">
        <f aca="false">IFERROR(B12/D12,"")</f>
        <v>34.5680665457635</v>
      </c>
      <c r="F12" s="20" t="n">
        <f aca="false">Stellschrauben!$C$15*C12*Stellschrauben!$C$16</f>
        <v>28.8</v>
      </c>
      <c r="G12" s="20" t="n">
        <f aca="false">IFERROR(B12/F12,"")</f>
        <v>1.20028008839457</v>
      </c>
      <c r="H12" s="6" t="str">
        <f aca="false">IF(G12&lt;3,"aktive Schleife",IF(G12&lt;10,"Idle-Pause",IF(G12&lt;30,"zäh","WALL")))</f>
        <v>aktive Schleife</v>
      </c>
    </row>
    <row r="13" customFormat="false" ht="15" hidden="false" customHeight="false" outlineLevel="0" collapsed="false">
      <c r="A13" s="6" t="n">
        <v>9</v>
      </c>
      <c r="B13" s="19" t="n">
        <f aca="false">Stellschrauben!$C$11*Stellschrauben!$C$10^A13</f>
        <v>38.3705538657975</v>
      </c>
      <c r="C13" s="20" t="n">
        <f aca="false">Stellschrauben!$C$12*A13*Stellschrauben!$C$14^INT(A13/Stellschrauben!$C$13)</f>
        <v>9</v>
      </c>
      <c r="D13" s="20" t="n">
        <f aca="false">C13-C12</f>
        <v>1</v>
      </c>
      <c r="E13" s="20" t="n">
        <f aca="false">IFERROR(B13/D13,"")</f>
        <v>38.3705538657975</v>
      </c>
      <c r="F13" s="20" t="n">
        <f aca="false">Stellschrauben!$C$15*C13*Stellschrauben!$C$16</f>
        <v>32.4</v>
      </c>
      <c r="G13" s="20" t="n">
        <f aca="false">IFERROR(B13/F13,"")</f>
        <v>1.18427635388264</v>
      </c>
      <c r="H13" s="6" t="str">
        <f aca="false">IF(G13&lt;3,"aktive Schleife",IF(G13&lt;10,"Idle-Pause",IF(G13&lt;30,"zäh","WALL")))</f>
        <v>aktive Schleife</v>
      </c>
    </row>
    <row r="14" customFormat="false" ht="15" hidden="false" customHeight="false" outlineLevel="0" collapsed="false">
      <c r="A14" s="6" t="n">
        <v>10</v>
      </c>
      <c r="B14" s="19" t="n">
        <f aca="false">Stellschrauben!$C$11*Stellschrauben!$C$10^A14</f>
        <v>42.5913147910353</v>
      </c>
      <c r="C14" s="20" t="n">
        <f aca="false">Stellschrauben!$C$12*A14*Stellschrauben!$C$14^INT(A14/Stellschrauben!$C$13)</f>
        <v>10</v>
      </c>
      <c r="D14" s="20" t="n">
        <f aca="false">C14-C13</f>
        <v>1</v>
      </c>
      <c r="E14" s="20" t="n">
        <f aca="false">IFERROR(B14/D14,"")</f>
        <v>42.5913147910353</v>
      </c>
      <c r="F14" s="20" t="n">
        <f aca="false">Stellschrauben!$C$15*C14*Stellschrauben!$C$16</f>
        <v>36</v>
      </c>
      <c r="G14" s="20" t="n">
        <f aca="false">IFERROR(B14/F14,"")</f>
        <v>1.18309207752876</v>
      </c>
      <c r="H14" s="6" t="str">
        <f aca="false">IF(G14&lt;3,"aktive Schleife",IF(G14&lt;10,"Idle-Pause",IF(G14&lt;30,"zäh","WALL")))</f>
        <v>aktive Schleife</v>
      </c>
    </row>
    <row r="15" customFormat="false" ht="15" hidden="false" customHeight="false" outlineLevel="0" collapsed="false">
      <c r="A15" s="6" t="n">
        <v>11</v>
      </c>
      <c r="B15" s="19" t="n">
        <f aca="false">Stellschrauben!$C$11*Stellschrauben!$C$10^A15</f>
        <v>47.2763594180492</v>
      </c>
      <c r="C15" s="20" t="n">
        <f aca="false">Stellschrauben!$C$12*A15*Stellschrauben!$C$14^INT(A15/Stellschrauben!$C$13)</f>
        <v>11</v>
      </c>
      <c r="D15" s="20" t="n">
        <f aca="false">C15-C14</f>
        <v>1</v>
      </c>
      <c r="E15" s="20" t="n">
        <f aca="false">IFERROR(B15/D15,"")</f>
        <v>47.2763594180492</v>
      </c>
      <c r="F15" s="20" t="n">
        <f aca="false">Stellschrauben!$C$15*C15*Stellschrauben!$C$16</f>
        <v>39.6</v>
      </c>
      <c r="G15" s="20" t="n">
        <f aca="false">IFERROR(B15/F15,"")</f>
        <v>1.19384746005175</v>
      </c>
      <c r="H15" s="6" t="str">
        <f aca="false">IF(G15&lt;3,"aktive Schleife",IF(G15&lt;10,"Idle-Pause",IF(G15&lt;30,"zäh","WALL")))</f>
        <v>aktive Schleife</v>
      </c>
    </row>
    <row r="16" customFormat="false" ht="15" hidden="false" customHeight="false" outlineLevel="0" collapsed="false">
      <c r="A16" s="6" t="n">
        <v>12</v>
      </c>
      <c r="B16" s="19" t="n">
        <f aca="false">Stellschrauben!$C$11*Stellschrauben!$C$10^A16</f>
        <v>52.4767589540346</v>
      </c>
      <c r="C16" s="20" t="n">
        <f aca="false">Stellschrauben!$C$12*A16*Stellschrauben!$C$14^INT(A16/Stellschrauben!$C$13)</f>
        <v>12</v>
      </c>
      <c r="D16" s="20" t="n">
        <f aca="false">C16-C15</f>
        <v>1</v>
      </c>
      <c r="E16" s="20" t="n">
        <f aca="false">IFERROR(B16/D16,"")</f>
        <v>52.4767589540346</v>
      </c>
      <c r="F16" s="20" t="n">
        <f aca="false">Stellschrauben!$C$15*C16*Stellschrauben!$C$16</f>
        <v>43.2</v>
      </c>
      <c r="G16" s="20" t="n">
        <f aca="false">IFERROR(B16/F16,"")</f>
        <v>1.21473979060265</v>
      </c>
      <c r="H16" s="6" t="str">
        <f aca="false">IF(G16&lt;3,"aktive Schleife",IF(G16&lt;10,"Idle-Pause",IF(G16&lt;30,"zäh","WALL")))</f>
        <v>aktive Schleife</v>
      </c>
    </row>
    <row r="17" customFormat="false" ht="15" hidden="false" customHeight="false" outlineLevel="0" collapsed="false">
      <c r="A17" s="6" t="n">
        <v>13</v>
      </c>
      <c r="B17" s="19" t="n">
        <f aca="false">Stellschrauben!$C$11*Stellschrauben!$C$10^A17</f>
        <v>58.2492024389784</v>
      </c>
      <c r="C17" s="20" t="n">
        <f aca="false">Stellschrauben!$C$12*A17*Stellschrauben!$C$14^INT(A17/Stellschrauben!$C$13)</f>
        <v>13</v>
      </c>
      <c r="D17" s="20" t="n">
        <f aca="false">C17-C16</f>
        <v>1</v>
      </c>
      <c r="E17" s="20" t="n">
        <f aca="false">IFERROR(B17/D17,"")</f>
        <v>58.2492024389784</v>
      </c>
      <c r="F17" s="20" t="n">
        <f aca="false">Stellschrauben!$C$15*C17*Stellschrauben!$C$16</f>
        <v>46.8</v>
      </c>
      <c r="G17" s="20" t="n">
        <f aca="false">IFERROR(B17/F17,"")</f>
        <v>1.24464107775595</v>
      </c>
      <c r="H17" s="6" t="str">
        <f aca="false">IF(G17&lt;3,"aktive Schleife",IF(G17&lt;10,"Idle-Pause",IF(G17&lt;30,"zäh","WALL")))</f>
        <v>aktive Schleife</v>
      </c>
    </row>
    <row r="18" customFormat="false" ht="15" hidden="false" customHeight="false" outlineLevel="0" collapsed="false">
      <c r="A18" s="6" t="n">
        <v>14</v>
      </c>
      <c r="B18" s="19" t="n">
        <f aca="false">Stellschrauben!$C$11*Stellschrauben!$C$10^A18</f>
        <v>64.656614707266</v>
      </c>
      <c r="C18" s="20" t="n">
        <f aca="false">Stellschrauben!$C$12*A18*Stellschrauben!$C$14^INT(A18/Stellschrauben!$C$13)</f>
        <v>14</v>
      </c>
      <c r="D18" s="20" t="n">
        <f aca="false">C18-C17</f>
        <v>1</v>
      </c>
      <c r="E18" s="20" t="n">
        <f aca="false">IFERROR(B18/D18,"")</f>
        <v>64.656614707266</v>
      </c>
      <c r="F18" s="20" t="n">
        <f aca="false">Stellschrauben!$C$15*C18*Stellschrauben!$C$16</f>
        <v>50.4</v>
      </c>
      <c r="G18" s="20" t="n">
        <f aca="false">IFERROR(B18/F18,"")</f>
        <v>1.28286933942988</v>
      </c>
      <c r="H18" s="6" t="str">
        <f aca="false">IF(G18&lt;3,"aktive Schleife",IF(G18&lt;10,"Idle-Pause",IF(G18&lt;30,"zäh","WALL")))</f>
        <v>aktive Schleife</v>
      </c>
    </row>
    <row r="19" customFormat="false" ht="15" hidden="false" customHeight="false" outlineLevel="0" collapsed="false">
      <c r="A19" s="6" t="n">
        <v>15</v>
      </c>
      <c r="B19" s="19" t="n">
        <f aca="false">Stellschrauben!$C$11*Stellschrauben!$C$10^A19</f>
        <v>71.7688423250653</v>
      </c>
      <c r="C19" s="20" t="n">
        <f aca="false">Stellschrauben!$C$12*A19*Stellschrauben!$C$14^INT(A19/Stellschrauben!$C$13)</f>
        <v>15</v>
      </c>
      <c r="D19" s="20" t="n">
        <f aca="false">C19-C18</f>
        <v>1</v>
      </c>
      <c r="E19" s="20" t="n">
        <f aca="false">IFERROR(B19/D19,"")</f>
        <v>71.7688423250653</v>
      </c>
      <c r="F19" s="20" t="n">
        <f aca="false">Stellschrauben!$C$15*C19*Stellschrauben!$C$16</f>
        <v>54</v>
      </c>
      <c r="G19" s="20" t="n">
        <f aca="false">IFERROR(B19/F19,"")</f>
        <v>1.32905263564936</v>
      </c>
      <c r="H19" s="6" t="str">
        <f aca="false">IF(G19&lt;3,"aktive Schleife",IF(G19&lt;10,"Idle-Pause",IF(G19&lt;30,"zäh","WALL")))</f>
        <v>aktive Schleife</v>
      </c>
    </row>
    <row r="20" customFormat="false" ht="15" hidden="false" customHeight="false" outlineLevel="0" collapsed="false">
      <c r="A20" s="6" t="n">
        <v>16</v>
      </c>
      <c r="B20" s="19" t="n">
        <f aca="false">Stellschrauben!$C$11*Stellschrauben!$C$10^A20</f>
        <v>79.6634149808225</v>
      </c>
      <c r="C20" s="20" t="n">
        <f aca="false">Stellschrauben!$C$12*A20*Stellschrauben!$C$14^INT(A20/Stellschrauben!$C$13)</f>
        <v>16</v>
      </c>
      <c r="D20" s="20" t="n">
        <f aca="false">C20-C19</f>
        <v>1</v>
      </c>
      <c r="E20" s="20" t="n">
        <f aca="false">IFERROR(B20/D20,"")</f>
        <v>79.6634149808225</v>
      </c>
      <c r="F20" s="20" t="n">
        <f aca="false">Stellschrauben!$C$15*C20*Stellschrauben!$C$16</f>
        <v>57.6</v>
      </c>
      <c r="G20" s="20" t="n">
        <f aca="false">IFERROR(B20/F20,"")</f>
        <v>1.38304539897261</v>
      </c>
      <c r="H20" s="6" t="str">
        <f aca="false">IF(G20&lt;3,"aktive Schleife",IF(G20&lt;10,"Idle-Pause",IF(G20&lt;30,"zäh","WALL")))</f>
        <v>aktive Schleife</v>
      </c>
    </row>
    <row r="21" customFormat="false" ht="15" hidden="false" customHeight="false" outlineLevel="0" collapsed="false">
      <c r="A21" s="6" t="n">
        <v>17</v>
      </c>
      <c r="B21" s="19" t="n">
        <f aca="false">Stellschrauben!$C$11*Stellschrauben!$C$10^A21</f>
        <v>88.4263906287129</v>
      </c>
      <c r="C21" s="20" t="n">
        <f aca="false">Stellschrauben!$C$12*A21*Stellschrauben!$C$14^INT(A21/Stellschrauben!$C$13)</f>
        <v>17</v>
      </c>
      <c r="D21" s="20" t="n">
        <f aca="false">C21-C20</f>
        <v>1</v>
      </c>
      <c r="E21" s="20" t="n">
        <f aca="false">IFERROR(B21/D21,"")</f>
        <v>88.4263906287129</v>
      </c>
      <c r="F21" s="20" t="n">
        <f aca="false">Stellschrauben!$C$15*C21*Stellschrauben!$C$16</f>
        <v>61.2</v>
      </c>
      <c r="G21" s="20" t="n">
        <f aca="false">IFERROR(B21/F21,"")</f>
        <v>1.44487566386786</v>
      </c>
      <c r="H21" s="6" t="str">
        <f aca="false">IF(G21&lt;3,"aktive Schleife",IF(G21&lt;10,"Idle-Pause",IF(G21&lt;30,"zäh","WALL")))</f>
        <v>aktive Schleife</v>
      </c>
    </row>
    <row r="22" customFormat="false" ht="15" hidden="false" customHeight="false" outlineLevel="0" collapsed="false">
      <c r="A22" s="6" t="n">
        <v>18</v>
      </c>
      <c r="B22" s="19" t="n">
        <f aca="false">Stellschrauben!$C$11*Stellschrauben!$C$10^A22</f>
        <v>98.1532935978714</v>
      </c>
      <c r="C22" s="20" t="n">
        <f aca="false">Stellschrauben!$C$12*A22*Stellschrauben!$C$14^INT(A22/Stellschrauben!$C$13)</f>
        <v>18</v>
      </c>
      <c r="D22" s="20" t="n">
        <f aca="false">C22-C21</f>
        <v>1</v>
      </c>
      <c r="E22" s="20" t="n">
        <f aca="false">IFERROR(B22/D22,"")</f>
        <v>98.1532935978714</v>
      </c>
      <c r="F22" s="20" t="n">
        <f aca="false">Stellschrauben!$C$15*C22*Stellschrauben!$C$16</f>
        <v>64.8</v>
      </c>
      <c r="G22" s="20" t="n">
        <f aca="false">IFERROR(B22/F22,"")</f>
        <v>1.51471132095481</v>
      </c>
      <c r="H22" s="6" t="str">
        <f aca="false">IF(G22&lt;3,"aktive Schleife",IF(G22&lt;10,"Idle-Pause",IF(G22&lt;30,"zäh","WALL")))</f>
        <v>aktive Schleife</v>
      </c>
    </row>
    <row r="23" customFormat="false" ht="15" hidden="false" customHeight="false" outlineLevel="0" collapsed="false">
      <c r="A23" s="6" t="n">
        <v>19</v>
      </c>
      <c r="B23" s="19" t="n">
        <f aca="false">Stellschrauben!$C$11*Stellschrauben!$C$10^A23</f>
        <v>108.950155893637</v>
      </c>
      <c r="C23" s="20" t="n">
        <f aca="false">Stellschrauben!$C$12*A23*Stellschrauben!$C$14^INT(A23/Stellschrauben!$C$13)</f>
        <v>19</v>
      </c>
      <c r="D23" s="20" t="n">
        <f aca="false">C23-C22</f>
        <v>1</v>
      </c>
      <c r="E23" s="20" t="n">
        <f aca="false">IFERROR(B23/D23,"")</f>
        <v>108.950155893637</v>
      </c>
      <c r="F23" s="20" t="n">
        <f aca="false">Stellschrauben!$C$15*C23*Stellschrauben!$C$16</f>
        <v>68.4</v>
      </c>
      <c r="G23" s="20" t="n">
        <f aca="false">IFERROR(B23/F23,"")</f>
        <v>1.59283853645668</v>
      </c>
      <c r="H23" s="6" t="str">
        <f aca="false">IF(G23&lt;3,"aktive Schleife",IF(G23&lt;10,"Idle-Pause",IF(G23&lt;30,"zäh","WALL")))</f>
        <v>aktive Schleife</v>
      </c>
    </row>
    <row r="24" customFormat="false" ht="15" hidden="false" customHeight="false" outlineLevel="0" collapsed="false">
      <c r="A24" s="6" t="n">
        <v>20</v>
      </c>
      <c r="B24" s="19" t="n">
        <f aca="false">Stellschrauben!$C$11*Stellschrauben!$C$10^A24</f>
        <v>120.934673041937</v>
      </c>
      <c r="C24" s="20" t="n">
        <f aca="false">Stellschrauben!$C$12*A24*Stellschrauben!$C$14^INT(A24/Stellschrauben!$C$13)</f>
        <v>20</v>
      </c>
      <c r="D24" s="20" t="n">
        <f aca="false">C24-C23</f>
        <v>1</v>
      </c>
      <c r="E24" s="20" t="n">
        <f aca="false">IFERROR(B24/D24,"")</f>
        <v>120.934673041937</v>
      </c>
      <c r="F24" s="20" t="n">
        <f aca="false">Stellschrauben!$C$15*C24*Stellschrauben!$C$16</f>
        <v>72</v>
      </c>
      <c r="G24" s="20" t="n">
        <f aca="false">IFERROR(B24/F24,"")</f>
        <v>1.67964823669357</v>
      </c>
      <c r="H24" s="6" t="str">
        <f aca="false">IF(G24&lt;3,"aktive Schleife",IF(G24&lt;10,"Idle-Pause",IF(G24&lt;30,"zäh","WALL")))</f>
        <v>aktive Schleife</v>
      </c>
    </row>
    <row r="25" customFormat="false" ht="15" hidden="false" customHeight="false" outlineLevel="0" collapsed="false">
      <c r="A25" s="6" t="n">
        <v>21</v>
      </c>
      <c r="B25" s="19" t="n">
        <f aca="false">Stellschrauben!$C$11*Stellschrauben!$C$10^A25</f>
        <v>134.23748707655</v>
      </c>
      <c r="C25" s="20" t="n">
        <f aca="false">Stellschrauben!$C$12*A25*Stellschrauben!$C$14^INT(A25/Stellschrauben!$C$13)</f>
        <v>21</v>
      </c>
      <c r="D25" s="20" t="n">
        <f aca="false">C25-C24</f>
        <v>1</v>
      </c>
      <c r="E25" s="20" t="n">
        <f aca="false">IFERROR(B25/D25,"")</f>
        <v>134.23748707655</v>
      </c>
      <c r="F25" s="20" t="n">
        <f aca="false">Stellschrauben!$C$15*C25*Stellschrauben!$C$16</f>
        <v>75.6</v>
      </c>
      <c r="G25" s="20" t="n">
        <f aca="false">IFERROR(B25/F25,"")</f>
        <v>1.77562813593321</v>
      </c>
      <c r="H25" s="6" t="str">
        <f aca="false">IF(G25&lt;3,"aktive Schleife",IF(G25&lt;10,"Idle-Pause",IF(G25&lt;30,"zäh","WALL")))</f>
        <v>aktive Schleife</v>
      </c>
    </row>
    <row r="26" customFormat="false" ht="15" hidden="false" customHeight="false" outlineLevel="0" collapsed="false">
      <c r="A26" s="6" t="n">
        <v>22</v>
      </c>
      <c r="B26" s="19" t="n">
        <f aca="false">Stellschrauben!$C$11*Stellschrauben!$C$10^A26</f>
        <v>149.003610654971</v>
      </c>
      <c r="C26" s="20" t="n">
        <f aca="false">Stellschrauben!$C$12*A26*Stellschrauben!$C$14^INT(A26/Stellschrauben!$C$13)</f>
        <v>22</v>
      </c>
      <c r="D26" s="20" t="n">
        <f aca="false">C26-C25</f>
        <v>1</v>
      </c>
      <c r="E26" s="20" t="n">
        <f aca="false">IFERROR(B26/D26,"")</f>
        <v>149.003610654971</v>
      </c>
      <c r="F26" s="20" t="n">
        <f aca="false">Stellschrauben!$C$15*C26*Stellschrauben!$C$16</f>
        <v>79.2</v>
      </c>
      <c r="G26" s="20" t="n">
        <f aca="false">IFERROR(B26/F26,"")</f>
        <v>1.88135872039105</v>
      </c>
      <c r="H26" s="6" t="str">
        <f aca="false">IF(G26&lt;3,"aktive Schleife",IF(G26&lt;10,"Idle-Pause",IF(G26&lt;30,"zäh","WALL")))</f>
        <v>aktive Schleife</v>
      </c>
    </row>
    <row r="27" customFormat="false" ht="15" hidden="false" customHeight="false" outlineLevel="0" collapsed="false">
      <c r="A27" s="6" t="n">
        <v>23</v>
      </c>
      <c r="B27" s="19" t="n">
        <f aca="false">Stellschrauben!$C$11*Stellschrauben!$C$10^A27</f>
        <v>165.394007827018</v>
      </c>
      <c r="C27" s="20" t="n">
        <f aca="false">Stellschrauben!$C$12*A27*Stellschrauben!$C$14^INT(A27/Stellschrauben!$C$13)</f>
        <v>23</v>
      </c>
      <c r="D27" s="20" t="n">
        <f aca="false">C27-C26</f>
        <v>1</v>
      </c>
      <c r="E27" s="20" t="n">
        <f aca="false">IFERROR(B27/D27,"")</f>
        <v>165.394007827018</v>
      </c>
      <c r="F27" s="20" t="n">
        <f aca="false">Stellschrauben!$C$15*C27*Stellschrauben!$C$16</f>
        <v>82.8</v>
      </c>
      <c r="G27" s="20" t="n">
        <f aca="false">IFERROR(B27/F27,"")</f>
        <v>1.99751217182389</v>
      </c>
      <c r="H27" s="6" t="str">
        <f aca="false">IF(G27&lt;3,"aktive Schleife",IF(G27&lt;10,"Idle-Pause",IF(G27&lt;30,"zäh","WALL")))</f>
        <v>aktive Schleife</v>
      </c>
    </row>
    <row r="28" customFormat="false" ht="15" hidden="false" customHeight="false" outlineLevel="0" collapsed="false">
      <c r="A28" s="6" t="n">
        <v>24</v>
      </c>
      <c r="B28" s="19" t="n">
        <f aca="false">Stellschrauben!$C$11*Stellschrauben!$C$10^A28</f>
        <v>183.58734868799</v>
      </c>
      <c r="C28" s="20" t="n">
        <f aca="false">Stellschrauben!$C$12*A28*Stellschrauben!$C$14^INT(A28/Stellschrauben!$C$13)</f>
        <v>24</v>
      </c>
      <c r="D28" s="20" t="n">
        <f aca="false">C28-C27</f>
        <v>1</v>
      </c>
      <c r="E28" s="20" t="n">
        <f aca="false">IFERROR(B28/D28,"")</f>
        <v>183.58734868799</v>
      </c>
      <c r="F28" s="20" t="n">
        <f aca="false">Stellschrauben!$C$15*C28*Stellschrauben!$C$16</f>
        <v>86.4</v>
      </c>
      <c r="G28" s="20" t="n">
        <f aca="false">IFERROR(B28/F28,"")</f>
        <v>2.12485357277766</v>
      </c>
      <c r="H28" s="6" t="str">
        <f aca="false">IF(G28&lt;3,"aktive Schleife",IF(G28&lt;10,"Idle-Pause",IF(G28&lt;30,"zäh","WALL")))</f>
        <v>aktive Schleife</v>
      </c>
    </row>
    <row r="29" customFormat="false" ht="15" hidden="false" customHeight="false" outlineLevel="0" collapsed="false">
      <c r="A29" s="6" t="n">
        <v>25</v>
      </c>
      <c r="B29" s="19" t="n">
        <f aca="false">Stellschrauben!$C$11*Stellschrauben!$C$10^A29</f>
        <v>203.781957043669</v>
      </c>
      <c r="C29" s="20" t="n">
        <f aca="false">Stellschrauben!$C$12*A29*Stellschrauben!$C$14^INT(A29/Stellschrauben!$C$13)</f>
        <v>50</v>
      </c>
      <c r="D29" s="20" t="n">
        <f aca="false">C29-C28</f>
        <v>26</v>
      </c>
      <c r="E29" s="20" t="n">
        <f aca="false">IFERROR(B29/D29,"")</f>
        <v>7.83776757860264</v>
      </c>
      <c r="F29" s="20" t="n">
        <f aca="false">Stellschrauben!$C$15*C29*Stellschrauben!$C$16</f>
        <v>180</v>
      </c>
      <c r="G29" s="20" t="n">
        <f aca="false">IFERROR(B29/F29,"")</f>
        <v>1.13212198357594</v>
      </c>
      <c r="H29" s="6" t="str">
        <f aca="false">IF(G29&lt;3,"aktive Schleife",IF(G29&lt;10,"Idle-Pause",IF(G29&lt;30,"zäh","WALL")))</f>
        <v>aktive Schleife</v>
      </c>
    </row>
    <row r="30" customFormat="false" ht="15" hidden="false" customHeight="false" outlineLevel="0" collapsed="false">
      <c r="A30" s="6" t="n">
        <v>26</v>
      </c>
      <c r="B30" s="19" t="n">
        <f aca="false">Stellschrauben!$C$11*Stellschrauben!$C$10^A30</f>
        <v>226.197972318472</v>
      </c>
      <c r="C30" s="20" t="n">
        <f aca="false">Stellschrauben!$C$12*A30*Stellschrauben!$C$14^INT(A30/Stellschrauben!$C$13)</f>
        <v>52</v>
      </c>
      <c r="D30" s="20" t="n">
        <f aca="false">C30-C29</f>
        <v>2</v>
      </c>
      <c r="E30" s="20" t="n">
        <f aca="false">IFERROR(B30/D30,"")</f>
        <v>113.098986159236</v>
      </c>
      <c r="F30" s="20" t="n">
        <f aca="false">Stellschrauben!$C$15*C30*Stellschrauben!$C$16</f>
        <v>187.2</v>
      </c>
      <c r="G30" s="20" t="n">
        <f aca="false">IFERROR(B30/F30,"")</f>
        <v>1.20832250170124</v>
      </c>
      <c r="H30" s="6" t="str">
        <f aca="false">IF(G30&lt;3,"aktive Schleife",IF(G30&lt;10,"Idle-Pause",IF(G30&lt;30,"zäh","WALL")))</f>
        <v>aktive Schleife</v>
      </c>
    </row>
    <row r="31" customFormat="false" ht="15" hidden="false" customHeight="false" outlineLevel="0" collapsed="false">
      <c r="A31" s="6" t="n">
        <v>27</v>
      </c>
      <c r="B31" s="19" t="n">
        <f aca="false">Stellschrauben!$C$11*Stellschrauben!$C$10^A31</f>
        <v>251.079749273504</v>
      </c>
      <c r="C31" s="20" t="n">
        <f aca="false">Stellschrauben!$C$12*A31*Stellschrauben!$C$14^INT(A31/Stellschrauben!$C$13)</f>
        <v>54</v>
      </c>
      <c r="D31" s="20" t="n">
        <f aca="false">C31-C30</f>
        <v>2</v>
      </c>
      <c r="E31" s="20" t="n">
        <f aca="false">IFERROR(B31/D31,"")</f>
        <v>125.539874636752</v>
      </c>
      <c r="F31" s="20" t="n">
        <f aca="false">Stellschrauben!$C$15*C31*Stellschrauben!$C$16</f>
        <v>194.4</v>
      </c>
      <c r="G31" s="20" t="n">
        <f aca="false">IFERROR(B31/F31,"")</f>
        <v>1.29156249626288</v>
      </c>
      <c r="H31" s="6" t="str">
        <f aca="false">IF(G31&lt;3,"aktive Schleife",IF(G31&lt;10,"Idle-Pause",IF(G31&lt;30,"zäh","WALL")))</f>
        <v>aktive Schleife</v>
      </c>
    </row>
    <row r="32" customFormat="false" ht="15" hidden="false" customHeight="false" outlineLevel="0" collapsed="false">
      <c r="A32" s="6" t="n">
        <v>28</v>
      </c>
      <c r="B32" s="19" t="n">
        <f aca="false">Stellschrauben!$C$11*Stellschrauben!$C$10^A32</f>
        <v>278.69852169359</v>
      </c>
      <c r="C32" s="20" t="n">
        <f aca="false">Stellschrauben!$C$12*A32*Stellschrauben!$C$14^INT(A32/Stellschrauben!$C$13)</f>
        <v>56</v>
      </c>
      <c r="D32" s="20" t="n">
        <f aca="false">C32-C31</f>
        <v>2</v>
      </c>
      <c r="E32" s="20" t="n">
        <f aca="false">IFERROR(B32/D32,"")</f>
        <v>139.349260846795</v>
      </c>
      <c r="F32" s="20" t="n">
        <f aca="false">Stellschrauben!$C$15*C32*Stellschrauben!$C$16</f>
        <v>201.6</v>
      </c>
      <c r="G32" s="20" t="n">
        <f aca="false">IFERROR(B32/F32,"")</f>
        <v>1.38243314332138</v>
      </c>
      <c r="H32" s="6" t="str">
        <f aca="false">IF(G32&lt;3,"aktive Schleife",IF(G32&lt;10,"Idle-Pause",IF(G32&lt;30,"zäh","WALL")))</f>
        <v>aktive Schleife</v>
      </c>
    </row>
    <row r="33" customFormat="false" ht="15" hidden="false" customHeight="false" outlineLevel="0" collapsed="false">
      <c r="A33" s="6" t="n">
        <v>29</v>
      </c>
      <c r="B33" s="19" t="n">
        <f aca="false">Stellschrauben!$C$11*Stellschrauben!$C$10^A33</f>
        <v>309.355359079885</v>
      </c>
      <c r="C33" s="20" t="n">
        <f aca="false">Stellschrauben!$C$12*A33*Stellschrauben!$C$14^INT(A33/Stellschrauben!$C$13)</f>
        <v>58</v>
      </c>
      <c r="D33" s="20" t="n">
        <f aca="false">C33-C32</f>
        <v>2</v>
      </c>
      <c r="E33" s="20" t="n">
        <f aca="false">IFERROR(B33/D33,"")</f>
        <v>154.677679539942</v>
      </c>
      <c r="F33" s="20" t="n">
        <f aca="false">Stellschrauben!$C$15*C33*Stellschrauben!$C$16</f>
        <v>208.8</v>
      </c>
      <c r="G33" s="20" t="n">
        <f aca="false">IFERROR(B33/F33,"")</f>
        <v>1.48158696877339</v>
      </c>
      <c r="H33" s="6" t="str">
        <f aca="false">IF(G33&lt;3,"aktive Schleife",IF(G33&lt;10,"Idle-Pause",IF(G33&lt;30,"zäh","WALL")))</f>
        <v>aktive Schleife</v>
      </c>
    </row>
    <row r="34" customFormat="false" ht="15" hidden="false" customHeight="false" outlineLevel="0" collapsed="false">
      <c r="A34" s="6" t="n">
        <v>30</v>
      </c>
      <c r="B34" s="19" t="n">
        <f aca="false">Stellschrauben!$C$11*Stellschrauben!$C$10^A34</f>
        <v>343.384448578672</v>
      </c>
      <c r="C34" s="20" t="n">
        <f aca="false">Stellschrauben!$C$12*A34*Stellschrauben!$C$14^INT(A34/Stellschrauben!$C$13)</f>
        <v>60</v>
      </c>
      <c r="D34" s="20" t="n">
        <f aca="false">C34-C33</f>
        <v>2</v>
      </c>
      <c r="E34" s="20" t="n">
        <f aca="false">IFERROR(B34/D34,"")</f>
        <v>171.692224289336</v>
      </c>
      <c r="F34" s="20" t="n">
        <f aca="false">Stellschrauben!$C$15*C34*Stellschrauben!$C$16</f>
        <v>216</v>
      </c>
      <c r="G34" s="20" t="n">
        <f aca="false">IFERROR(B34/F34,"")</f>
        <v>1.58974281749385</v>
      </c>
      <c r="H34" s="6" t="str">
        <f aca="false">IF(G34&lt;3,"aktive Schleife",IF(G34&lt;10,"Idle-Pause",IF(G34&lt;30,"zäh","WALL")))</f>
        <v>aktive Schleife</v>
      </c>
    </row>
    <row r="35" customFormat="false" ht="15" hidden="false" customHeight="false" outlineLevel="0" collapsed="false">
      <c r="A35" s="6" t="n">
        <v>31</v>
      </c>
      <c r="B35" s="19" t="n">
        <f aca="false">Stellschrauben!$C$11*Stellschrauben!$C$10^A35</f>
        <v>381.156737922326</v>
      </c>
      <c r="C35" s="20" t="n">
        <f aca="false">Stellschrauben!$C$12*A35*Stellschrauben!$C$14^INT(A35/Stellschrauben!$C$13)</f>
        <v>62</v>
      </c>
      <c r="D35" s="20" t="n">
        <f aca="false">C35-C34</f>
        <v>2</v>
      </c>
      <c r="E35" s="20" t="n">
        <f aca="false">IFERROR(B35/D35,"")</f>
        <v>190.578368961163</v>
      </c>
      <c r="F35" s="20" t="n">
        <f aca="false">Stellschrauben!$C$15*C35*Stellschrauben!$C$16</f>
        <v>223.2</v>
      </c>
      <c r="G35" s="20" t="n">
        <f aca="false">IFERROR(B35/F35,"")</f>
        <v>1.70769147814662</v>
      </c>
      <c r="H35" s="6" t="str">
        <f aca="false">IF(G35&lt;3,"aktive Schleife",IF(G35&lt;10,"Idle-Pause",IF(G35&lt;30,"zäh","WALL")))</f>
        <v>aktive Schleife</v>
      </c>
    </row>
    <row r="36" customFormat="false" ht="15" hidden="false" customHeight="false" outlineLevel="0" collapsed="false">
      <c r="A36" s="6" t="n">
        <v>32</v>
      </c>
      <c r="B36" s="19" t="n">
        <f aca="false">Stellschrauben!$C$11*Stellschrauben!$C$10^A36</f>
        <v>423.083979093782</v>
      </c>
      <c r="C36" s="20" t="n">
        <f aca="false">Stellschrauben!$C$12*A36*Stellschrauben!$C$14^INT(A36/Stellschrauben!$C$13)</f>
        <v>64</v>
      </c>
      <c r="D36" s="20" t="n">
        <f aca="false">C36-C35</f>
        <v>2</v>
      </c>
      <c r="E36" s="20" t="n">
        <f aca="false">IFERROR(B36/D36,"")</f>
        <v>211.541989546891</v>
      </c>
      <c r="F36" s="20" t="n">
        <f aca="false">Stellschrauben!$C$15*C36*Stellschrauben!$C$16</f>
        <v>230.4</v>
      </c>
      <c r="G36" s="20" t="n">
        <f aca="false">IFERROR(B36/F36,"")</f>
        <v>1.83630199259454</v>
      </c>
      <c r="H36" s="6" t="str">
        <f aca="false">IF(G36&lt;3,"aktive Schleife",IF(G36&lt;10,"Idle-Pause",IF(G36&lt;30,"zäh","WALL")))</f>
        <v>aktive Schleife</v>
      </c>
    </row>
    <row r="37" customFormat="false" ht="15" hidden="false" customHeight="false" outlineLevel="0" collapsed="false">
      <c r="A37" s="6" t="n">
        <v>33</v>
      </c>
      <c r="B37" s="19" t="n">
        <f aca="false">Stellschrauben!$C$11*Stellschrauben!$C$10^A37</f>
        <v>469.623216794098</v>
      </c>
      <c r="C37" s="20" t="n">
        <f aca="false">Stellschrauben!$C$12*A37*Stellschrauben!$C$14^INT(A37/Stellschrauben!$C$13)</f>
        <v>66</v>
      </c>
      <c r="D37" s="20" t="n">
        <f aca="false">C37-C36</f>
        <v>2</v>
      </c>
      <c r="E37" s="20" t="n">
        <f aca="false">IFERROR(B37/D37,"")</f>
        <v>234.811608397049</v>
      </c>
      <c r="F37" s="20" t="n">
        <f aca="false">Stellschrauben!$C$15*C37*Stellschrauben!$C$16</f>
        <v>237.6</v>
      </c>
      <c r="G37" s="20" t="n">
        <f aca="false">IFERROR(B37/F37,"")</f>
        <v>1.97652869021085</v>
      </c>
      <c r="H37" s="6" t="str">
        <f aca="false">IF(G37&lt;3,"aktive Schleife",IF(G37&lt;10,"Idle-Pause",IF(G37&lt;30,"zäh","WALL")))</f>
        <v>aktive Schleife</v>
      </c>
    </row>
    <row r="38" customFormat="false" ht="15" hidden="false" customHeight="false" outlineLevel="0" collapsed="false">
      <c r="A38" s="6" t="n">
        <v>34</v>
      </c>
      <c r="B38" s="19" t="n">
        <f aca="false">Stellschrauben!$C$11*Stellschrauben!$C$10^A38</f>
        <v>521.281770641449</v>
      </c>
      <c r="C38" s="20" t="n">
        <f aca="false">Stellschrauben!$C$12*A38*Stellschrauben!$C$14^INT(A38/Stellschrauben!$C$13)</f>
        <v>68</v>
      </c>
      <c r="D38" s="20" t="n">
        <f aca="false">C38-C37</f>
        <v>2</v>
      </c>
      <c r="E38" s="20" t="n">
        <f aca="false">IFERROR(B38/D38,"")</f>
        <v>260.640885320724</v>
      </c>
      <c r="F38" s="20" t="n">
        <f aca="false">Stellschrauben!$C$15*C38*Stellschrauben!$C$16</f>
        <v>244.8</v>
      </c>
      <c r="G38" s="20" t="n">
        <f aca="false">IFERROR(B38/F38,"")</f>
        <v>2.12941899771834</v>
      </c>
      <c r="H38" s="6" t="str">
        <f aca="false">IF(G38&lt;3,"aktive Schleife",IF(G38&lt;10,"Idle-Pause",IF(G38&lt;30,"zäh","WALL")))</f>
        <v>aktive Schleife</v>
      </c>
    </row>
    <row r="39" customFormat="false" ht="15" hidden="false" customHeight="false" outlineLevel="0" collapsed="false">
      <c r="A39" s="6" t="n">
        <v>35</v>
      </c>
      <c r="B39" s="19" t="n">
        <f aca="false">Stellschrauben!$C$11*Stellschrauben!$C$10^A39</f>
        <v>578.622765412008</v>
      </c>
      <c r="C39" s="20" t="n">
        <f aca="false">Stellschrauben!$C$12*A39*Stellschrauben!$C$14^INT(A39/Stellschrauben!$C$13)</f>
        <v>70</v>
      </c>
      <c r="D39" s="20" t="n">
        <f aca="false">C39-C38</f>
        <v>2</v>
      </c>
      <c r="E39" s="20" t="n">
        <f aca="false">IFERROR(B39/D39,"")</f>
        <v>289.311382706004</v>
      </c>
      <c r="F39" s="20" t="n">
        <f aca="false">Stellschrauben!$C$15*C39*Stellschrauben!$C$16</f>
        <v>252</v>
      </c>
      <c r="G39" s="20" t="n">
        <f aca="false">IFERROR(B39/F39,"")</f>
        <v>2.29612208496829</v>
      </c>
      <c r="H39" s="6" t="str">
        <f aca="false">IF(G39&lt;3,"aktive Schleife",IF(G39&lt;10,"Idle-Pause",IF(G39&lt;30,"zäh","WALL")))</f>
        <v>aktive Schleife</v>
      </c>
    </row>
    <row r="40" customFormat="false" ht="15" hidden="false" customHeight="false" outlineLevel="0" collapsed="false">
      <c r="A40" s="6" t="n">
        <v>36</v>
      </c>
      <c r="B40" s="19" t="n">
        <f aca="false">Stellschrauben!$C$11*Stellschrauben!$C$10^A40</f>
        <v>642.271269607329</v>
      </c>
      <c r="C40" s="20" t="n">
        <f aca="false">Stellschrauben!$C$12*A40*Stellschrauben!$C$14^INT(A40/Stellschrauben!$C$13)</f>
        <v>72</v>
      </c>
      <c r="D40" s="20" t="n">
        <f aca="false">C40-C39</f>
        <v>2</v>
      </c>
      <c r="E40" s="20" t="n">
        <f aca="false">IFERROR(B40/D40,"")</f>
        <v>321.135634803665</v>
      </c>
      <c r="F40" s="20" t="n">
        <f aca="false">Stellschrauben!$C$15*C40*Stellschrauben!$C$16</f>
        <v>259.2</v>
      </c>
      <c r="G40" s="20" t="n">
        <f aca="false">IFERROR(B40/F40,"")</f>
        <v>2.47789841669494</v>
      </c>
      <c r="H40" s="6" t="str">
        <f aca="false">IF(G40&lt;3,"aktive Schleife",IF(G40&lt;10,"Idle-Pause",IF(G40&lt;30,"zäh","WALL")))</f>
        <v>aktive Schleife</v>
      </c>
    </row>
    <row r="41" customFormat="false" ht="15" hidden="false" customHeight="false" outlineLevel="0" collapsed="false">
      <c r="A41" s="6" t="n">
        <v>37</v>
      </c>
      <c r="B41" s="19" t="n">
        <f aca="false">Stellschrauben!$C$11*Stellschrauben!$C$10^A41</f>
        <v>712.921109264135</v>
      </c>
      <c r="C41" s="20" t="n">
        <f aca="false">Stellschrauben!$C$12*A41*Stellschrauben!$C$14^INT(A41/Stellschrauben!$C$13)</f>
        <v>74</v>
      </c>
      <c r="D41" s="20" t="n">
        <f aca="false">C41-C40</f>
        <v>2</v>
      </c>
      <c r="E41" s="20" t="n">
        <f aca="false">IFERROR(B41/D41,"")</f>
        <v>356.460554632068</v>
      </c>
      <c r="F41" s="20" t="n">
        <f aca="false">Stellschrauben!$C$15*C41*Stellschrauben!$C$16</f>
        <v>266.4</v>
      </c>
      <c r="G41" s="20" t="n">
        <f aca="false">IFERROR(B41/F41,"")</f>
        <v>2.67613029003054</v>
      </c>
      <c r="H41" s="6" t="str">
        <f aca="false">IF(G41&lt;3,"aktive Schleife",IF(G41&lt;10,"Idle-Pause",IF(G41&lt;30,"zäh","WALL")))</f>
        <v>aktive Schleife</v>
      </c>
    </row>
    <row r="42" customFormat="false" ht="15" hidden="false" customHeight="false" outlineLevel="0" collapsed="false">
      <c r="A42" s="6" t="n">
        <v>38</v>
      </c>
      <c r="B42" s="19" t="n">
        <f aca="false">Stellschrauben!$C$11*Stellschrauben!$C$10^A42</f>
        <v>791.34243128319</v>
      </c>
      <c r="C42" s="20" t="n">
        <f aca="false">Stellschrauben!$C$12*A42*Stellschrauben!$C$14^INT(A42/Stellschrauben!$C$13)</f>
        <v>76</v>
      </c>
      <c r="D42" s="20" t="n">
        <f aca="false">C42-C41</f>
        <v>2</v>
      </c>
      <c r="E42" s="20" t="n">
        <f aca="false">IFERROR(B42/D42,"")</f>
        <v>395.671215641595</v>
      </c>
      <c r="F42" s="20" t="n">
        <f aca="false">Stellschrauben!$C$15*C42*Stellschrauben!$C$16</f>
        <v>273.6</v>
      </c>
      <c r="G42" s="20" t="n">
        <f aca="false">IFERROR(B42/F42,"")</f>
        <v>2.89233344767248</v>
      </c>
      <c r="H42" s="6" t="str">
        <f aca="false">IF(G42&lt;3,"aktive Schleife",IF(G42&lt;10,"Idle-Pause",IF(G42&lt;30,"zäh","WALL")))</f>
        <v>aktive Schleife</v>
      </c>
    </row>
    <row r="43" customFormat="false" ht="15" hidden="false" customHeight="false" outlineLevel="0" collapsed="false">
      <c r="A43" s="6" t="n">
        <v>39</v>
      </c>
      <c r="B43" s="19" t="n">
        <f aca="false">Stellschrauben!$C$11*Stellschrauben!$C$10^A43</f>
        <v>878.390098724341</v>
      </c>
      <c r="C43" s="20" t="n">
        <f aca="false">Stellschrauben!$C$12*A43*Stellschrauben!$C$14^INT(A43/Stellschrauben!$C$13)</f>
        <v>78</v>
      </c>
      <c r="D43" s="20" t="n">
        <f aca="false">C43-C42</f>
        <v>2</v>
      </c>
      <c r="E43" s="20" t="n">
        <f aca="false">IFERROR(B43/D43,"")</f>
        <v>439.195049362171</v>
      </c>
      <c r="F43" s="20" t="n">
        <f aca="false">Stellschrauben!$C$15*C43*Stellschrauben!$C$16</f>
        <v>280.8</v>
      </c>
      <c r="G43" s="20" t="n">
        <f aca="false">IFERROR(B43/F43,"")</f>
        <v>3.12816986725193</v>
      </c>
      <c r="H43" s="6" t="str">
        <f aca="false">IF(G43&lt;3,"aktive Schleife",IF(G43&lt;10,"Idle-Pause",IF(G43&lt;30,"zäh","WALL")))</f>
        <v>Idle-Pause</v>
      </c>
    </row>
    <row r="44" customFormat="false" ht="15" hidden="false" customHeight="false" outlineLevel="0" collapsed="false">
      <c r="A44" s="6" t="n">
        <v>40</v>
      </c>
      <c r="B44" s="19" t="n">
        <f aca="false">Stellschrauben!$C$11*Stellschrauben!$C$10^A44</f>
        <v>975.013009584019</v>
      </c>
      <c r="C44" s="20" t="n">
        <f aca="false">Stellschrauben!$C$12*A44*Stellschrauben!$C$14^INT(A44/Stellschrauben!$C$13)</f>
        <v>80</v>
      </c>
      <c r="D44" s="20" t="n">
        <f aca="false">C44-C43</f>
        <v>2</v>
      </c>
      <c r="E44" s="20" t="n">
        <f aca="false">IFERROR(B44/D44,"")</f>
        <v>487.50650479201</v>
      </c>
      <c r="F44" s="20" t="n">
        <f aca="false">Stellschrauben!$C$15*C44*Stellschrauben!$C$16</f>
        <v>288</v>
      </c>
      <c r="G44" s="20" t="n">
        <f aca="false">IFERROR(B44/F44,"")</f>
        <v>3.3854618388334</v>
      </c>
      <c r="H44" s="6" t="str">
        <f aca="false">IF(G44&lt;3,"aktive Schleife",IF(G44&lt;10,"Idle-Pause",IF(G44&lt;30,"zäh","WALL")))</f>
        <v>Idle-Pause</v>
      </c>
    </row>
    <row r="45" customFormat="false" ht="15" hidden="false" customHeight="false" outlineLevel="0" collapsed="false">
      <c r="A45" s="6" t="n">
        <v>41</v>
      </c>
      <c r="B45" s="19" t="n">
        <f aca="false">Stellschrauben!$C$11*Stellschrauben!$C$10^A45</f>
        <v>1082.26444063826</v>
      </c>
      <c r="C45" s="20" t="n">
        <f aca="false">Stellschrauben!$C$12*A45*Stellschrauben!$C$14^INT(A45/Stellschrauben!$C$13)</f>
        <v>82</v>
      </c>
      <c r="D45" s="20" t="n">
        <f aca="false">C45-C44</f>
        <v>2</v>
      </c>
      <c r="E45" s="20" t="n">
        <f aca="false">IFERROR(B45/D45,"")</f>
        <v>541.132220319131</v>
      </c>
      <c r="F45" s="20" t="n">
        <f aca="false">Stellschrauben!$C$15*C45*Stellschrauben!$C$16</f>
        <v>295.2</v>
      </c>
      <c r="G45" s="20" t="n">
        <f aca="false">IFERROR(B45/F45,"")</f>
        <v>3.66620745473666</v>
      </c>
      <c r="H45" s="6" t="str">
        <f aca="false">IF(G45&lt;3,"aktive Schleife",IF(G45&lt;10,"Idle-Pause",IF(G45&lt;30,"zäh","WALL")))</f>
        <v>Idle-Pause</v>
      </c>
    </row>
    <row r="46" customFormat="false" ht="15" hidden="false" customHeight="false" outlineLevel="0" collapsed="false">
      <c r="A46" s="6" t="n">
        <v>42</v>
      </c>
      <c r="B46" s="19" t="n">
        <f aca="false">Stellschrauben!$C$11*Stellschrauben!$C$10^A46</f>
        <v>1201.31352910847</v>
      </c>
      <c r="C46" s="20" t="n">
        <f aca="false">Stellschrauben!$C$12*A46*Stellschrauben!$C$14^INT(A46/Stellschrauben!$C$13)</f>
        <v>84</v>
      </c>
      <c r="D46" s="20" t="n">
        <f aca="false">C46-C45</f>
        <v>2</v>
      </c>
      <c r="E46" s="20" t="n">
        <f aca="false">IFERROR(B46/D46,"")</f>
        <v>600.656764554235</v>
      </c>
      <c r="F46" s="20" t="n">
        <f aca="false">Stellschrauben!$C$15*C46*Stellschrauben!$C$16</f>
        <v>302.4</v>
      </c>
      <c r="G46" s="20" t="n">
        <f aca="false">IFERROR(B46/F46,"")</f>
        <v>3.97259764916822</v>
      </c>
      <c r="H46" s="6" t="str">
        <f aca="false">IF(G46&lt;3,"aktive Schleife",IF(G46&lt;10,"Idle-Pause",IF(G46&lt;30,"zäh","WALL")))</f>
        <v>Idle-Pause</v>
      </c>
    </row>
    <row r="47" customFormat="false" ht="15" hidden="false" customHeight="false" outlineLevel="0" collapsed="false">
      <c r="A47" s="6" t="n">
        <v>43</v>
      </c>
      <c r="B47" s="19" t="n">
        <f aca="false">Stellschrauben!$C$11*Stellschrauben!$C$10^A47</f>
        <v>1333.4580173104</v>
      </c>
      <c r="C47" s="20" t="n">
        <f aca="false">Stellschrauben!$C$12*A47*Stellschrauben!$C$14^INT(A47/Stellschrauben!$C$13)</f>
        <v>86</v>
      </c>
      <c r="D47" s="20" t="n">
        <f aca="false">C47-C46</f>
        <v>2</v>
      </c>
      <c r="E47" s="20" t="n">
        <f aca="false">IFERROR(B47/D47,"")</f>
        <v>666.729008655201</v>
      </c>
      <c r="F47" s="20" t="n">
        <f aca="false">Stellschrauben!$C$15*C47*Stellschrauben!$C$16</f>
        <v>309.6</v>
      </c>
      <c r="G47" s="20" t="n">
        <f aca="false">IFERROR(B47/F47,"")</f>
        <v>4.30703493963308</v>
      </c>
      <c r="H47" s="6" t="str">
        <f aca="false">IF(G47&lt;3,"aktive Schleife",IF(G47&lt;10,"Idle-Pause",IF(G47&lt;30,"zäh","WALL")))</f>
        <v>Idle-Pause</v>
      </c>
    </row>
    <row r="48" customFormat="false" ht="15" hidden="false" customHeight="false" outlineLevel="0" collapsed="false">
      <c r="A48" s="6" t="n">
        <v>44</v>
      </c>
      <c r="B48" s="19" t="n">
        <f aca="false">Stellschrauben!$C$11*Stellschrauben!$C$10^A48</f>
        <v>1480.13839921455</v>
      </c>
      <c r="C48" s="20" t="n">
        <f aca="false">Stellschrauben!$C$12*A48*Stellschrauben!$C$14^INT(A48/Stellschrauben!$C$13)</f>
        <v>88</v>
      </c>
      <c r="D48" s="20" t="n">
        <f aca="false">C48-C47</f>
        <v>2</v>
      </c>
      <c r="E48" s="20" t="n">
        <f aca="false">IFERROR(B48/D48,"")</f>
        <v>740.069199607273</v>
      </c>
      <c r="F48" s="20" t="n">
        <f aca="false">Stellschrauben!$C$15*C48*Stellschrauben!$C$16</f>
        <v>316.8</v>
      </c>
      <c r="G48" s="20" t="n">
        <f aca="false">IFERROR(B48/F48,"")</f>
        <v>4.6721540379247</v>
      </c>
      <c r="H48" s="6" t="str">
        <f aca="false">IF(G48&lt;3,"aktive Schleife",IF(G48&lt;10,"Idle-Pause",IF(G48&lt;30,"zäh","WALL")))</f>
        <v>Idle-Pause</v>
      </c>
    </row>
    <row r="49" customFormat="false" ht="15" hidden="false" customHeight="false" outlineLevel="0" collapsed="false">
      <c r="A49" s="6" t="n">
        <v>45</v>
      </c>
      <c r="B49" s="19" t="n">
        <f aca="false">Stellschrauben!$C$11*Stellschrauben!$C$10^A49</f>
        <v>1642.95362312815</v>
      </c>
      <c r="C49" s="20" t="n">
        <f aca="false">Stellschrauben!$C$12*A49*Stellschrauben!$C$14^INT(A49/Stellschrauben!$C$13)</f>
        <v>90</v>
      </c>
      <c r="D49" s="20" t="n">
        <f aca="false">C49-C48</f>
        <v>2</v>
      </c>
      <c r="E49" s="20" t="n">
        <f aca="false">IFERROR(B49/D49,"")</f>
        <v>821.476811564073</v>
      </c>
      <c r="F49" s="20" t="n">
        <f aca="false">Stellschrauben!$C$15*C49*Stellschrauben!$C$16</f>
        <v>324</v>
      </c>
      <c r="G49" s="20" t="n">
        <f aca="false">IFERROR(B49/F49,"")</f>
        <v>5.07084451582761</v>
      </c>
      <c r="H49" s="6" t="str">
        <f aca="false">IF(G49&lt;3,"aktive Schleife",IF(G49&lt;10,"Idle-Pause",IF(G49&lt;30,"zäh","WALL")))</f>
        <v>Idle-Pause</v>
      </c>
    </row>
    <row r="50" customFormat="false" ht="15" hidden="false" customHeight="false" outlineLevel="0" collapsed="false">
      <c r="A50" s="6" t="n">
        <v>46</v>
      </c>
      <c r="B50" s="19" t="n">
        <f aca="false">Stellschrauben!$C$11*Stellschrauben!$C$10^A50</f>
        <v>1823.67852167224</v>
      </c>
      <c r="C50" s="20" t="n">
        <f aca="false">Stellschrauben!$C$12*A50*Stellschrauben!$C$14^INT(A50/Stellschrauben!$C$13)</f>
        <v>92</v>
      </c>
      <c r="D50" s="20" t="n">
        <f aca="false">C50-C49</f>
        <v>2</v>
      </c>
      <c r="E50" s="20" t="n">
        <f aca="false">IFERROR(B50/D50,"")</f>
        <v>911.839260836121</v>
      </c>
      <c r="F50" s="20" t="n">
        <f aca="false">Stellschrauben!$C$15*C50*Stellschrauben!$C$16</f>
        <v>331.2</v>
      </c>
      <c r="G50" s="20" t="n">
        <f aca="false">IFERROR(B50/F50,"")</f>
        <v>5.50627572968672</v>
      </c>
      <c r="H50" s="6" t="str">
        <f aca="false">IF(G50&lt;3,"aktive Schleife",IF(G50&lt;10,"Idle-Pause",IF(G50&lt;30,"zäh","WALL")))</f>
        <v>Idle-Pause</v>
      </c>
    </row>
    <row r="51" customFormat="false" ht="15" hidden="false" customHeight="false" outlineLevel="0" collapsed="false">
      <c r="A51" s="6" t="n">
        <v>47</v>
      </c>
      <c r="B51" s="19" t="n">
        <f aca="false">Stellschrauben!$C$11*Stellschrauben!$C$10^A51</f>
        <v>2024.28315905619</v>
      </c>
      <c r="C51" s="20" t="n">
        <f aca="false">Stellschrauben!$C$12*A51*Stellschrauben!$C$14^INT(A51/Stellschrauben!$C$13)</f>
        <v>94</v>
      </c>
      <c r="D51" s="20" t="n">
        <f aca="false">C51-C50</f>
        <v>2</v>
      </c>
      <c r="E51" s="20" t="n">
        <f aca="false">IFERROR(B51/D51,"")</f>
        <v>1012.14157952809</v>
      </c>
      <c r="F51" s="20" t="n">
        <f aca="false">Stellschrauben!$C$15*C51*Stellschrauben!$C$16</f>
        <v>338.4</v>
      </c>
      <c r="G51" s="20" t="n">
        <f aca="false">IFERROR(B51/F51,"")</f>
        <v>5.98192422888945</v>
      </c>
      <c r="H51" s="6" t="str">
        <f aca="false">IF(G51&lt;3,"aktive Schleife",IF(G51&lt;10,"Idle-Pause",IF(G51&lt;30,"zäh","WALL")))</f>
        <v>Idle-Pause</v>
      </c>
    </row>
    <row r="52" customFormat="false" ht="15" hidden="false" customHeight="false" outlineLevel="0" collapsed="false">
      <c r="A52" s="6" t="n">
        <v>48</v>
      </c>
      <c r="B52" s="19" t="n">
        <f aca="false">Stellschrauben!$C$11*Stellschrauben!$C$10^A52</f>
        <v>2246.95430655237</v>
      </c>
      <c r="C52" s="20" t="n">
        <f aca="false">Stellschrauben!$C$12*A52*Stellschrauben!$C$14^INT(A52/Stellschrauben!$C$13)</f>
        <v>96</v>
      </c>
      <c r="D52" s="20" t="n">
        <f aca="false">C52-C51</f>
        <v>2</v>
      </c>
      <c r="E52" s="20" t="n">
        <f aca="false">IFERROR(B52/D52,"")</f>
        <v>1123.47715327619</v>
      </c>
      <c r="F52" s="20" t="n">
        <f aca="false">Stellschrauben!$C$15*C52*Stellschrauben!$C$16</f>
        <v>345.6</v>
      </c>
      <c r="G52" s="20" t="n">
        <f aca="false">IFERROR(B52/F52,"")</f>
        <v>6.50160389627422</v>
      </c>
      <c r="H52" s="6" t="str">
        <f aca="false">IF(G52&lt;3,"aktive Schleife",IF(G52&lt;10,"Idle-Pause",IF(G52&lt;30,"zäh","WALL")))</f>
        <v>Idle-Pause</v>
      </c>
    </row>
    <row r="53" customFormat="false" ht="15" hidden="false" customHeight="false" outlineLevel="0" collapsed="false">
      <c r="A53" s="6" t="n">
        <v>49</v>
      </c>
      <c r="B53" s="19" t="n">
        <f aca="false">Stellschrauben!$C$11*Stellschrauben!$C$10^A53</f>
        <v>2494.11928027313</v>
      </c>
      <c r="C53" s="20" t="n">
        <f aca="false">Stellschrauben!$C$12*A53*Stellschrauben!$C$14^INT(A53/Stellschrauben!$C$13)</f>
        <v>98</v>
      </c>
      <c r="D53" s="20" t="n">
        <f aca="false">C53-C52</f>
        <v>2</v>
      </c>
      <c r="E53" s="20" t="n">
        <f aca="false">IFERROR(B53/D53,"")</f>
        <v>1247.05964013657</v>
      </c>
      <c r="F53" s="20" t="n">
        <f aca="false">Stellschrauben!$C$15*C53*Stellschrauben!$C$16</f>
        <v>352.8</v>
      </c>
      <c r="G53" s="20" t="n">
        <f aca="false">IFERROR(B53/F53,"")</f>
        <v>7.0694990937447</v>
      </c>
      <c r="H53" s="6" t="str">
        <f aca="false">IF(G53&lt;3,"aktive Schleife",IF(G53&lt;10,"Idle-Pause",IF(G53&lt;30,"zäh","WALL")))</f>
        <v>Idle-Pause</v>
      </c>
    </row>
    <row r="54" customFormat="false" ht="15" hidden="false" customHeight="false" outlineLevel="0" collapsed="false">
      <c r="A54" s="6" t="n">
        <v>50</v>
      </c>
      <c r="B54" s="19" t="n">
        <f aca="false">Stellschrauben!$C$11*Stellschrauben!$C$10^A54</f>
        <v>2768.47240110318</v>
      </c>
      <c r="C54" s="20" t="n">
        <f aca="false">Stellschrauben!$C$12*A54*Stellschrauben!$C$14^INT(A54/Stellschrauben!$C$13)</f>
        <v>200</v>
      </c>
      <c r="D54" s="20" t="n">
        <f aca="false">C54-C53</f>
        <v>102</v>
      </c>
      <c r="E54" s="20" t="n">
        <f aca="false">IFERROR(B54/D54,"")</f>
        <v>27.1418862853253</v>
      </c>
      <c r="F54" s="20" t="n">
        <f aca="false">Stellschrauben!$C$15*C54*Stellschrauben!$C$16</f>
        <v>720</v>
      </c>
      <c r="G54" s="20" t="n">
        <f aca="false">IFERROR(B54/F54,"")</f>
        <v>3.84510055708775</v>
      </c>
      <c r="H54" s="6" t="str">
        <f aca="false">IF(G54&lt;3,"aktive Schleife",IF(G54&lt;10,"Idle-Pause",IF(G54&lt;30,"zäh","WALL")))</f>
        <v>Idle-Pause</v>
      </c>
    </row>
    <row r="55" customFormat="false" ht="15" hidden="false" customHeight="false" outlineLevel="0" collapsed="false">
      <c r="A55" s="6" t="n">
        <v>51</v>
      </c>
      <c r="B55" s="19" t="n">
        <f aca="false">Stellschrauben!$C$11*Stellschrauben!$C$10^A55</f>
        <v>3073.00436522453</v>
      </c>
      <c r="C55" s="20" t="n">
        <f aca="false">Stellschrauben!$C$12*A55*Stellschrauben!$C$14^INT(A55/Stellschrauben!$C$13)</f>
        <v>204</v>
      </c>
      <c r="D55" s="20" t="n">
        <f aca="false">C55-C54</f>
        <v>4</v>
      </c>
      <c r="E55" s="20" t="n">
        <f aca="false">IFERROR(B55/D55,"")</f>
        <v>768.251091306132</v>
      </c>
      <c r="F55" s="20" t="n">
        <f aca="false">Stellschrauben!$C$15*C55*Stellschrauben!$C$16</f>
        <v>734.4</v>
      </c>
      <c r="G55" s="20" t="n">
        <f aca="false">IFERROR(B55/F55,"")</f>
        <v>4.18437413565431</v>
      </c>
      <c r="H55" s="6" t="str">
        <f aca="false">IF(G55&lt;3,"aktive Schleife",IF(G55&lt;10,"Idle-Pause",IF(G55&lt;30,"zäh","WALL")))</f>
        <v>Idle-Pause</v>
      </c>
    </row>
    <row r="56" customFormat="false" ht="15" hidden="false" customHeight="false" outlineLevel="0" collapsed="false">
      <c r="A56" s="6" t="n">
        <v>52</v>
      </c>
      <c r="B56" s="19" t="n">
        <f aca="false">Stellschrauben!$C$11*Stellschrauben!$C$10^A56</f>
        <v>3411.03484539922</v>
      </c>
      <c r="C56" s="20" t="n">
        <f aca="false">Stellschrauben!$C$12*A56*Stellschrauben!$C$14^INT(A56/Stellschrauben!$C$13)</f>
        <v>208</v>
      </c>
      <c r="D56" s="20" t="n">
        <f aca="false">C56-C55</f>
        <v>4</v>
      </c>
      <c r="E56" s="20" t="n">
        <f aca="false">IFERROR(B56/D56,"")</f>
        <v>852.758711349806</v>
      </c>
      <c r="F56" s="20" t="n">
        <f aca="false">Stellschrauben!$C$15*C56*Stellschrauben!$C$16</f>
        <v>748.8</v>
      </c>
      <c r="G56" s="20" t="n">
        <f aca="false">IFERROR(B56/F56,"")</f>
        <v>4.55533499652674</v>
      </c>
      <c r="H56" s="6" t="str">
        <f aca="false">IF(G56&lt;3,"aktive Schleife",IF(G56&lt;10,"Idle-Pause",IF(G56&lt;30,"zäh","WALL")))</f>
        <v>Idle-Pause</v>
      </c>
    </row>
    <row r="57" customFormat="false" ht="15" hidden="false" customHeight="false" outlineLevel="0" collapsed="false">
      <c r="A57" s="6" t="n">
        <v>53</v>
      </c>
      <c r="B57" s="19" t="n">
        <f aca="false">Stellschrauben!$C$11*Stellschrauben!$C$10^A57</f>
        <v>3786.24867839314</v>
      </c>
      <c r="C57" s="20" t="n">
        <f aca="false">Stellschrauben!$C$12*A57*Stellschrauben!$C$14^INT(A57/Stellschrauben!$C$13)</f>
        <v>212</v>
      </c>
      <c r="D57" s="20" t="n">
        <f aca="false">C57-C56</f>
        <v>4</v>
      </c>
      <c r="E57" s="20" t="n">
        <f aca="false">IFERROR(B57/D57,"")</f>
        <v>946.562169598285</v>
      </c>
      <c r="F57" s="20" t="n">
        <f aca="false">Stellschrauben!$C$15*C57*Stellschrauben!$C$16</f>
        <v>763.2</v>
      </c>
      <c r="G57" s="20" t="n">
        <f aca="false">IFERROR(B57/F57,"")</f>
        <v>4.96101766036837</v>
      </c>
      <c r="H57" s="6" t="str">
        <f aca="false">IF(G57&lt;3,"aktive Schleife",IF(G57&lt;10,"Idle-Pause",IF(G57&lt;30,"zäh","WALL")))</f>
        <v>Idle-Pause</v>
      </c>
    </row>
    <row r="58" customFormat="false" ht="15" hidden="false" customHeight="false" outlineLevel="0" collapsed="false">
      <c r="A58" s="6" t="n">
        <v>54</v>
      </c>
      <c r="B58" s="19" t="n">
        <f aca="false">Stellschrauben!$C$11*Stellschrauben!$C$10^A58</f>
        <v>4202.73603301639</v>
      </c>
      <c r="C58" s="20" t="n">
        <f aca="false">Stellschrauben!$C$12*A58*Stellschrauben!$C$14^INT(A58/Stellschrauben!$C$13)</f>
        <v>216</v>
      </c>
      <c r="D58" s="20" t="n">
        <f aca="false">C58-C57</f>
        <v>4</v>
      </c>
      <c r="E58" s="20" t="n">
        <f aca="false">IFERROR(B58/D58,"")</f>
        <v>1050.6840082541</v>
      </c>
      <c r="F58" s="20" t="n">
        <f aca="false">Stellschrauben!$C$15*C58*Stellschrauben!$C$16</f>
        <v>777.6</v>
      </c>
      <c r="G58" s="20" t="n">
        <f aca="false">IFERROR(B58/F58,"")</f>
        <v>5.4047531288791</v>
      </c>
      <c r="H58" s="6" t="str">
        <f aca="false">IF(G58&lt;3,"aktive Schleife",IF(G58&lt;10,"Idle-Pause",IF(G58&lt;30,"zäh","WALL")))</f>
        <v>Idle-Pause</v>
      </c>
    </row>
    <row r="59" customFormat="false" ht="15" hidden="false" customHeight="false" outlineLevel="0" collapsed="false">
      <c r="A59" s="6" t="n">
        <v>55</v>
      </c>
      <c r="B59" s="19" t="n">
        <f aca="false">Stellschrauben!$C$11*Stellschrauben!$C$10^A59</f>
        <v>4665.03699664819</v>
      </c>
      <c r="C59" s="20" t="n">
        <f aca="false">Stellschrauben!$C$12*A59*Stellschrauben!$C$14^INT(A59/Stellschrauben!$C$13)</f>
        <v>220</v>
      </c>
      <c r="D59" s="20" t="n">
        <f aca="false">C59-C58</f>
        <v>4</v>
      </c>
      <c r="E59" s="20" t="n">
        <f aca="false">IFERROR(B59/D59,"")</f>
        <v>1166.25924916205</v>
      </c>
      <c r="F59" s="20" t="n">
        <f aca="false">Stellschrauben!$C$15*C59*Stellschrauben!$C$16</f>
        <v>792</v>
      </c>
      <c r="G59" s="20" t="n">
        <f aca="false">IFERROR(B59/F59,"")</f>
        <v>5.89019822809115</v>
      </c>
      <c r="H59" s="6" t="str">
        <f aca="false">IF(G59&lt;3,"aktive Schleife",IF(G59&lt;10,"Idle-Pause",IF(G59&lt;30,"zäh","WALL")))</f>
        <v>Idle-Pause</v>
      </c>
    </row>
    <row r="60" customFormat="false" ht="15" hidden="false" customHeight="false" outlineLevel="0" collapsed="false">
      <c r="A60" s="6" t="n">
        <v>56</v>
      </c>
      <c r="B60" s="19" t="n">
        <f aca="false">Stellschrauben!$C$11*Stellschrauben!$C$10^A60</f>
        <v>5178.19106627949</v>
      </c>
      <c r="C60" s="20" t="n">
        <f aca="false">Stellschrauben!$C$12*A60*Stellschrauben!$C$14^INT(A60/Stellschrauben!$C$13)</f>
        <v>224</v>
      </c>
      <c r="D60" s="20" t="n">
        <f aca="false">C60-C59</f>
        <v>4</v>
      </c>
      <c r="E60" s="20" t="n">
        <f aca="false">IFERROR(B60/D60,"")</f>
        <v>1294.54776656987</v>
      </c>
      <c r="F60" s="20" t="n">
        <f aca="false">Stellschrauben!$C$15*C60*Stellschrauben!$C$16</f>
        <v>806.4</v>
      </c>
      <c r="G60" s="20" t="n">
        <f aca="false">IFERROR(B60/F60,"")</f>
        <v>6.42136788973151</v>
      </c>
      <c r="H60" s="6" t="str">
        <f aca="false">IF(G60&lt;3,"aktive Schleife",IF(G60&lt;10,"Idle-Pause",IF(G60&lt;30,"zäh","WALL")))</f>
        <v>Idle-Pause</v>
      </c>
    </row>
    <row r="61" customFormat="false" ht="15" hidden="false" customHeight="false" outlineLevel="0" collapsed="false">
      <c r="A61" s="6" t="n">
        <v>57</v>
      </c>
      <c r="B61" s="19" t="n">
        <f aca="false">Stellschrauben!$C$11*Stellschrauben!$C$10^A61</f>
        <v>5747.79208357023</v>
      </c>
      <c r="C61" s="20" t="n">
        <f aca="false">Stellschrauben!$C$12*A61*Stellschrauben!$C$14^INT(A61/Stellschrauben!$C$13)</f>
        <v>228</v>
      </c>
      <c r="D61" s="20" t="n">
        <f aca="false">C61-C60</f>
        <v>4</v>
      </c>
      <c r="E61" s="20" t="n">
        <f aca="false">IFERROR(B61/D61,"")</f>
        <v>1436.94802089256</v>
      </c>
      <c r="F61" s="20" t="n">
        <f aca="false">Stellschrauben!$C$15*C61*Stellschrauben!$C$16</f>
        <v>820.8</v>
      </c>
      <c r="G61" s="20" t="n">
        <f aca="false">IFERROR(B61/F61,"")</f>
        <v>7.00267066711773</v>
      </c>
      <c r="H61" s="6" t="str">
        <f aca="false">IF(G61&lt;3,"aktive Schleife",IF(G61&lt;10,"Idle-Pause",IF(G61&lt;30,"zäh","WALL")))</f>
        <v>Idle-Pause</v>
      </c>
    </row>
    <row r="62" customFormat="false" ht="15" hidden="false" customHeight="false" outlineLevel="0" collapsed="false">
      <c r="A62" s="6" t="n">
        <v>58</v>
      </c>
      <c r="B62" s="19" t="n">
        <f aca="false">Stellschrauben!$C$11*Stellschrauben!$C$10^A62</f>
        <v>6380.04921276296</v>
      </c>
      <c r="C62" s="20" t="n">
        <f aca="false">Stellschrauben!$C$12*A62*Stellschrauben!$C$14^INT(A62/Stellschrauben!$C$13)</f>
        <v>232</v>
      </c>
      <c r="D62" s="20" t="n">
        <f aca="false">C62-C61</f>
        <v>4</v>
      </c>
      <c r="E62" s="20" t="n">
        <f aca="false">IFERROR(B62/D62,"")</f>
        <v>1595.01230319074</v>
      </c>
      <c r="F62" s="20" t="n">
        <f aca="false">Stellschrauben!$C$15*C62*Stellschrauben!$C$16</f>
        <v>835.2</v>
      </c>
      <c r="G62" s="20" t="n">
        <f aca="false">IFERROR(B62/F62,"")</f>
        <v>7.63894781221619</v>
      </c>
      <c r="H62" s="6" t="str">
        <f aca="false">IF(G62&lt;3,"aktive Schleife",IF(G62&lt;10,"Idle-Pause",IF(G62&lt;30,"zäh","WALL")))</f>
        <v>Idle-Pause</v>
      </c>
    </row>
    <row r="63" customFormat="false" ht="15" hidden="false" customHeight="false" outlineLevel="0" collapsed="false">
      <c r="A63" s="6" t="n">
        <v>59</v>
      </c>
      <c r="B63" s="19" t="n">
        <f aca="false">Stellschrauben!$C$11*Stellschrauben!$C$10^A63</f>
        <v>7081.85462616688</v>
      </c>
      <c r="C63" s="20" t="n">
        <f aca="false">Stellschrauben!$C$12*A63*Stellschrauben!$C$14^INT(A63/Stellschrauben!$C$13)</f>
        <v>236</v>
      </c>
      <c r="D63" s="20" t="n">
        <f aca="false">C63-C62</f>
        <v>4</v>
      </c>
      <c r="E63" s="20" t="n">
        <f aca="false">IFERROR(B63/D63,"")</f>
        <v>1770.46365654172</v>
      </c>
      <c r="F63" s="20" t="n">
        <f aca="false">Stellschrauben!$C$15*C63*Stellschrauben!$C$16</f>
        <v>849.6</v>
      </c>
      <c r="G63" s="20" t="n">
        <f aca="false">IFERROR(B63/F63,"")</f>
        <v>8.33551627373692</v>
      </c>
      <c r="H63" s="6" t="str">
        <f aca="false">IF(G63&lt;3,"aktive Schleife",IF(G63&lt;10,"Idle-Pause",IF(G63&lt;30,"zäh","WALL")))</f>
        <v>Idle-Pause</v>
      </c>
    </row>
    <row r="64" customFormat="false" ht="15" hidden="false" customHeight="false" outlineLevel="0" collapsed="false">
      <c r="A64" s="6" t="n">
        <v>60</v>
      </c>
      <c r="B64" s="19" t="n">
        <f aca="false">Stellschrauben!$C$11*Stellschrauben!$C$10^A64</f>
        <v>7860.85863504524</v>
      </c>
      <c r="C64" s="20" t="n">
        <f aca="false">Stellschrauben!$C$12*A64*Stellschrauben!$C$14^INT(A64/Stellschrauben!$C$13)</f>
        <v>240</v>
      </c>
      <c r="D64" s="20" t="n">
        <f aca="false">C64-C63</f>
        <v>4</v>
      </c>
      <c r="E64" s="20" t="n">
        <f aca="false">IFERROR(B64/D64,"")</f>
        <v>1965.21465876131</v>
      </c>
      <c r="F64" s="20" t="n">
        <f aca="false">Stellschrauben!$C$15*C64*Stellschrauben!$C$16</f>
        <v>864</v>
      </c>
      <c r="G64" s="20" t="n">
        <f aca="false">IFERROR(B64/F64,"")</f>
        <v>9.09821601278385</v>
      </c>
      <c r="H64" s="6" t="str">
        <f aca="false">IF(G64&lt;3,"aktive Schleife",IF(G64&lt;10,"Idle-Pause",IF(G64&lt;30,"zäh","WALL")))</f>
        <v>Idle-Pause</v>
      </c>
    </row>
    <row r="65" customFormat="false" ht="15" hidden="false" customHeight="false" outlineLevel="0" collapsed="false">
      <c r="A65" s="6" t="n">
        <v>61</v>
      </c>
      <c r="B65" s="19" t="n">
        <f aca="false">Stellschrauben!$C$11*Stellschrauben!$C$10^A65</f>
        <v>8725.55308490022</v>
      </c>
      <c r="C65" s="20" t="n">
        <f aca="false">Stellschrauben!$C$12*A65*Stellschrauben!$C$14^INT(A65/Stellschrauben!$C$13)</f>
        <v>244</v>
      </c>
      <c r="D65" s="20" t="n">
        <f aca="false">C65-C64</f>
        <v>4</v>
      </c>
      <c r="E65" s="20" t="n">
        <f aca="false">IFERROR(B65/D65,"")</f>
        <v>2181.38827122506</v>
      </c>
      <c r="F65" s="20" t="n">
        <f aca="false">Stellschrauben!$C$15*C65*Stellschrauben!$C$16</f>
        <v>878.4</v>
      </c>
      <c r="G65" s="20" t="n">
        <f aca="false">IFERROR(B65/F65,"")</f>
        <v>9.93346207297384</v>
      </c>
      <c r="H65" s="6" t="str">
        <f aca="false">IF(G65&lt;3,"aktive Schleife",IF(G65&lt;10,"Idle-Pause",IF(G65&lt;30,"zäh","WALL")))</f>
        <v>Idle-Pause</v>
      </c>
    </row>
    <row r="66" customFormat="false" ht="15" hidden="false" customHeight="false" outlineLevel="0" collapsed="false">
      <c r="A66" s="6" t="n">
        <v>62</v>
      </c>
      <c r="B66" s="19" t="n">
        <f aca="false">Stellschrauben!$C$11*Stellschrauben!$C$10^A66</f>
        <v>9685.36392423925</v>
      </c>
      <c r="C66" s="20" t="n">
        <f aca="false">Stellschrauben!$C$12*A66*Stellschrauben!$C$14^INT(A66/Stellschrauben!$C$13)</f>
        <v>248</v>
      </c>
      <c r="D66" s="20" t="n">
        <f aca="false">C66-C65</f>
        <v>4</v>
      </c>
      <c r="E66" s="20" t="n">
        <f aca="false">IFERROR(B66/D66,"")</f>
        <v>2421.34098105981</v>
      </c>
      <c r="F66" s="20" t="n">
        <f aca="false">Stellschrauben!$C$15*C66*Stellschrauben!$C$16</f>
        <v>892.8</v>
      </c>
      <c r="G66" s="20" t="n">
        <f aca="false">IFERROR(B66/F66,"")</f>
        <v>10.8483018864687</v>
      </c>
      <c r="H66" s="6" t="str">
        <f aca="false">IF(G66&lt;3,"aktive Schleife",IF(G66&lt;10,"Idle-Pause",IF(G66&lt;30,"zäh","WALL")))</f>
        <v>zäh</v>
      </c>
    </row>
    <row r="67" customFormat="false" ht="15" hidden="false" customHeight="false" outlineLevel="0" collapsed="false">
      <c r="A67" s="6" t="n">
        <v>63</v>
      </c>
      <c r="B67" s="19" t="n">
        <f aca="false">Stellschrauben!$C$11*Stellschrauben!$C$10^A67</f>
        <v>10750.7539559056</v>
      </c>
      <c r="C67" s="20" t="n">
        <f aca="false">Stellschrauben!$C$12*A67*Stellschrauben!$C$14^INT(A67/Stellschrauben!$C$13)</f>
        <v>252</v>
      </c>
      <c r="D67" s="20" t="n">
        <f aca="false">C67-C66</f>
        <v>4</v>
      </c>
      <c r="E67" s="20" t="n">
        <f aca="false">IFERROR(B67/D67,"")</f>
        <v>2687.68848897639</v>
      </c>
      <c r="F67" s="20" t="n">
        <f aca="false">Stellschrauben!$C$15*C67*Stellschrauben!$C$16</f>
        <v>907.2</v>
      </c>
      <c r="G67" s="20" t="n">
        <f aca="false">IFERROR(B67/F67,"")</f>
        <v>11.8504783464567</v>
      </c>
      <c r="H67" s="6" t="str">
        <f aca="false">IF(G67&lt;3,"aktive Schleife",IF(G67&lt;10,"Idle-Pause",IF(G67&lt;30,"zäh","WALL")))</f>
        <v>zäh</v>
      </c>
    </row>
    <row r="68" customFormat="false" ht="15" hidden="false" customHeight="false" outlineLevel="0" collapsed="false">
      <c r="A68" s="6" t="n">
        <v>64</v>
      </c>
      <c r="B68" s="19" t="n">
        <f aca="false">Stellschrauben!$C$11*Stellschrauben!$C$10^A68</f>
        <v>11933.3368910552</v>
      </c>
      <c r="C68" s="20" t="n">
        <f aca="false">Stellschrauben!$C$12*A68*Stellschrauben!$C$14^INT(A68/Stellschrauben!$C$13)</f>
        <v>256</v>
      </c>
      <c r="D68" s="20" t="n">
        <f aca="false">C68-C67</f>
        <v>4</v>
      </c>
      <c r="E68" s="20" t="n">
        <f aca="false">IFERROR(B68/D68,"")</f>
        <v>2983.33422276379</v>
      </c>
      <c r="F68" s="20" t="n">
        <f aca="false">Stellschrauben!$C$15*C68*Stellschrauben!$C$16</f>
        <v>921.6</v>
      </c>
      <c r="G68" s="20" t="n">
        <f aca="false">IFERROR(B68/F68,"")</f>
        <v>12.9484992307456</v>
      </c>
      <c r="H68" s="6" t="str">
        <f aca="false">IF(G68&lt;3,"aktive Schleife",IF(G68&lt;10,"Idle-Pause",IF(G68&lt;30,"zäh","WALL")))</f>
        <v>zäh</v>
      </c>
    </row>
    <row r="69" customFormat="false" ht="15" hidden="false" customHeight="false" outlineLevel="0" collapsed="false">
      <c r="A69" s="6" t="n">
        <v>65</v>
      </c>
      <c r="B69" s="19" t="n">
        <f aca="false">Stellschrauben!$C$11*Stellschrauben!$C$10^A69</f>
        <v>13246.0039490712</v>
      </c>
      <c r="C69" s="20" t="n">
        <f aca="false">Stellschrauben!$C$12*A69*Stellschrauben!$C$14^INT(A69/Stellschrauben!$C$13)</f>
        <v>260</v>
      </c>
      <c r="D69" s="20" t="n">
        <f aca="false">C69-C68</f>
        <v>4</v>
      </c>
      <c r="E69" s="20" t="n">
        <f aca="false">IFERROR(B69/D69,"")</f>
        <v>3311.50098726781</v>
      </c>
      <c r="F69" s="20" t="n">
        <f aca="false">Stellschrauben!$C$15*C69*Stellschrauben!$C$16</f>
        <v>936</v>
      </c>
      <c r="G69" s="20" t="n">
        <f aca="false">IFERROR(B69/F69,"")</f>
        <v>14.1517136208026</v>
      </c>
      <c r="H69" s="6" t="str">
        <f aca="false">IF(G69&lt;3,"aktive Schleife",IF(G69&lt;10,"Idle-Pause",IF(G69&lt;30,"zäh","WALL")))</f>
        <v>zäh</v>
      </c>
    </row>
    <row r="70" customFormat="false" ht="15" hidden="false" customHeight="false" outlineLevel="0" collapsed="false">
      <c r="A70" s="6" t="n">
        <v>66</v>
      </c>
      <c r="B70" s="19" t="n">
        <f aca="false">Stellschrauben!$C$11*Stellschrauben!$C$10^A70</f>
        <v>14703.0643834691</v>
      </c>
      <c r="C70" s="20" t="n">
        <f aca="false">Stellschrauben!$C$12*A70*Stellschrauben!$C$14^INT(A70/Stellschrauben!$C$13)</f>
        <v>264</v>
      </c>
      <c r="D70" s="20" t="n">
        <f aca="false">C70-C69</f>
        <v>4</v>
      </c>
      <c r="E70" s="20" t="n">
        <f aca="false">IFERROR(B70/D70,"")</f>
        <v>3675.76609586727</v>
      </c>
      <c r="F70" s="20" t="n">
        <f aca="false">Stellschrauben!$C$15*C70*Stellschrauben!$C$16</f>
        <v>950.4</v>
      </c>
      <c r="G70" s="20" t="n">
        <f aca="false">IFERROR(B70/F70,"")</f>
        <v>15.4703960263774</v>
      </c>
      <c r="H70" s="6" t="str">
        <f aca="false">IF(G70&lt;3,"aktive Schleife",IF(G70&lt;10,"Idle-Pause",IF(G70&lt;30,"zäh","WALL")))</f>
        <v>zäh</v>
      </c>
    </row>
    <row r="71" customFormat="false" ht="15" hidden="false" customHeight="false" outlineLevel="0" collapsed="false">
      <c r="A71" s="6" t="n">
        <v>67</v>
      </c>
      <c r="B71" s="19" t="n">
        <f aca="false">Stellschrauben!$C$11*Stellschrauben!$C$10^A71</f>
        <v>16320.4014656507</v>
      </c>
      <c r="C71" s="20" t="n">
        <f aca="false">Stellschrauben!$C$12*A71*Stellschrauben!$C$14^INT(A71/Stellschrauben!$C$13)</f>
        <v>268</v>
      </c>
      <c r="D71" s="20" t="n">
        <f aca="false">C71-C70</f>
        <v>4</v>
      </c>
      <c r="E71" s="20" t="n">
        <f aca="false">IFERROR(B71/D71,"")</f>
        <v>4080.10036641267</v>
      </c>
      <c r="F71" s="20" t="n">
        <f aca="false">Stellschrauben!$C$15*C71*Stellschrauben!$C$16</f>
        <v>964.8</v>
      </c>
      <c r="G71" s="20" t="n">
        <f aca="false">IFERROR(B71/F71,"")</f>
        <v>16.9158389983942</v>
      </c>
      <c r="H71" s="6" t="str">
        <f aca="false">IF(G71&lt;3,"aktive Schleife",IF(G71&lt;10,"Idle-Pause",IF(G71&lt;30,"zäh","WALL")))</f>
        <v>zäh</v>
      </c>
    </row>
    <row r="72" customFormat="false" ht="15" hidden="false" customHeight="false" outlineLevel="0" collapsed="false">
      <c r="A72" s="6" t="n">
        <v>68</v>
      </c>
      <c r="B72" s="19" t="n">
        <f aca="false">Stellschrauben!$C$11*Stellschrauben!$C$10^A72</f>
        <v>18115.6456268723</v>
      </c>
      <c r="C72" s="20" t="n">
        <f aca="false">Stellschrauben!$C$12*A72*Stellschrauben!$C$14^INT(A72/Stellschrauben!$C$13)</f>
        <v>272</v>
      </c>
      <c r="D72" s="20" t="n">
        <f aca="false">C72-C71</f>
        <v>4</v>
      </c>
      <c r="E72" s="20" t="n">
        <f aca="false">IFERROR(B72/D72,"")</f>
        <v>4528.91140671807</v>
      </c>
      <c r="F72" s="20" t="n">
        <f aca="false">Stellschrauben!$C$15*C72*Stellschrauben!$C$16</f>
        <v>979.2</v>
      </c>
      <c r="G72" s="20" t="n">
        <f aca="false">IFERROR(B72/F72,"")</f>
        <v>18.5004550928026</v>
      </c>
      <c r="H72" s="6" t="str">
        <f aca="false">IF(G72&lt;3,"aktive Schleife",IF(G72&lt;10,"Idle-Pause",IF(G72&lt;30,"zäh","WALL")))</f>
        <v>zäh</v>
      </c>
    </row>
    <row r="73" customFormat="false" ht="15" hidden="false" customHeight="false" outlineLevel="0" collapsed="false">
      <c r="A73" s="6" t="n">
        <v>69</v>
      </c>
      <c r="B73" s="19" t="n">
        <f aca="false">Stellschrauben!$C$11*Stellschrauben!$C$10^A73</f>
        <v>20108.3666458282</v>
      </c>
      <c r="C73" s="20" t="n">
        <f aca="false">Stellschrauben!$C$12*A73*Stellschrauben!$C$14^INT(A73/Stellschrauben!$C$13)</f>
        <v>276</v>
      </c>
      <c r="D73" s="20" t="n">
        <f aca="false">C73-C72</f>
        <v>4</v>
      </c>
      <c r="E73" s="20" t="n">
        <f aca="false">IFERROR(B73/D73,"")</f>
        <v>5027.09166145705</v>
      </c>
      <c r="F73" s="20" t="n">
        <f aca="false">Stellschrauben!$C$15*C73*Stellschrauben!$C$16</f>
        <v>993.6</v>
      </c>
      <c r="G73" s="20" t="n">
        <f aca="false">IFERROR(B73/F73,"")</f>
        <v>20.2378891363005</v>
      </c>
      <c r="H73" s="6" t="str">
        <f aca="false">IF(G73&lt;3,"aktive Schleife",IF(G73&lt;10,"Idle-Pause",IF(G73&lt;30,"zäh","WALL")))</f>
        <v>zäh</v>
      </c>
    </row>
    <row r="74" customFormat="false" ht="15" hidden="false" customHeight="false" outlineLevel="0" collapsed="false">
      <c r="A74" s="6" t="n">
        <v>70</v>
      </c>
      <c r="B74" s="19" t="n">
        <f aca="false">Stellschrauben!$C$11*Stellschrauben!$C$10^A74</f>
        <v>22320.2869768693</v>
      </c>
      <c r="C74" s="20" t="n">
        <f aca="false">Stellschrauben!$C$12*A74*Stellschrauben!$C$14^INT(A74/Stellschrauben!$C$13)</f>
        <v>280</v>
      </c>
      <c r="D74" s="20" t="n">
        <f aca="false">C74-C73</f>
        <v>4</v>
      </c>
      <c r="E74" s="20" t="n">
        <f aca="false">IFERROR(B74/D74,"")</f>
        <v>5580.07174421733</v>
      </c>
      <c r="F74" s="20" t="n">
        <f aca="false">Stellschrauben!$C$15*C74*Stellschrauben!$C$16</f>
        <v>1008</v>
      </c>
      <c r="G74" s="20" t="n">
        <f aca="false">IFERROR(B74/F74,"")</f>
        <v>22.1431418421323</v>
      </c>
      <c r="H74" s="6" t="str">
        <f aca="false">IF(G74&lt;3,"aktive Schleife",IF(G74&lt;10,"Idle-Pause",IF(G74&lt;30,"zäh","WALL")))</f>
        <v>zäh</v>
      </c>
    </row>
    <row r="75" customFormat="false" ht="15" hidden="false" customHeight="false" outlineLevel="0" collapsed="false">
      <c r="A75" s="6" t="n">
        <v>71</v>
      </c>
      <c r="B75" s="19" t="n">
        <f aca="false">Stellschrauben!$C$11*Stellschrauben!$C$10^A75</f>
        <v>24775.5185443249</v>
      </c>
      <c r="C75" s="20" t="n">
        <f aca="false">Stellschrauben!$C$12*A75*Stellschrauben!$C$14^INT(A75/Stellschrauben!$C$13)</f>
        <v>284</v>
      </c>
      <c r="D75" s="20" t="n">
        <f aca="false">C75-C74</f>
        <v>4</v>
      </c>
      <c r="E75" s="20" t="n">
        <f aca="false">IFERROR(B75/D75,"")</f>
        <v>6193.87963608124</v>
      </c>
      <c r="F75" s="20" t="n">
        <f aca="false">Stellschrauben!$C$15*C75*Stellschrauben!$C$16</f>
        <v>1022.4</v>
      </c>
      <c r="G75" s="20" t="n">
        <f aca="false">IFERROR(B75/F75,"")</f>
        <v>24.2327059314602</v>
      </c>
      <c r="H75" s="6" t="str">
        <f aca="false">IF(G75&lt;3,"aktive Schleife",IF(G75&lt;10,"Idle-Pause",IF(G75&lt;30,"zäh","WALL")))</f>
        <v>zäh</v>
      </c>
    </row>
    <row r="76" customFormat="false" ht="15" hidden="false" customHeight="false" outlineLevel="0" collapsed="false">
      <c r="A76" s="6" t="n">
        <v>72</v>
      </c>
      <c r="B76" s="19" t="n">
        <f aca="false">Stellschrauben!$C$11*Stellschrauben!$C$10^A76</f>
        <v>27500.8255842007</v>
      </c>
      <c r="C76" s="20" t="n">
        <f aca="false">Stellschrauben!$C$12*A76*Stellschrauben!$C$14^INT(A76/Stellschrauben!$C$13)</f>
        <v>288</v>
      </c>
      <c r="D76" s="20" t="n">
        <f aca="false">C76-C75</f>
        <v>4</v>
      </c>
      <c r="E76" s="20" t="n">
        <f aca="false">IFERROR(B76/D76,"")</f>
        <v>6875.20639605017</v>
      </c>
      <c r="F76" s="20" t="n">
        <f aca="false">Stellschrauben!$C$15*C76*Stellschrauben!$C$16</f>
        <v>1036.8</v>
      </c>
      <c r="G76" s="20" t="n">
        <f aca="false">IFERROR(B76/F76,"")</f>
        <v>26.5247160341442</v>
      </c>
      <c r="H76" s="6" t="str">
        <f aca="false">IF(G76&lt;3,"aktive Schleife",IF(G76&lt;10,"Idle-Pause",IF(G76&lt;30,"zäh","WALL")))</f>
        <v>zäh</v>
      </c>
    </row>
    <row r="77" customFormat="false" ht="15" hidden="false" customHeight="false" outlineLevel="0" collapsed="false">
      <c r="A77" s="6" t="n">
        <v>73</v>
      </c>
      <c r="B77" s="19" t="n">
        <f aca="false">Stellschrauben!$C$11*Stellschrauben!$C$10^A77</f>
        <v>30525.9163984628</v>
      </c>
      <c r="C77" s="20" t="n">
        <f aca="false">Stellschrauben!$C$12*A77*Stellschrauben!$C$14^INT(A77/Stellschrauben!$C$13)</f>
        <v>292</v>
      </c>
      <c r="D77" s="20" t="n">
        <f aca="false">C77-C76</f>
        <v>4</v>
      </c>
      <c r="E77" s="20" t="n">
        <f aca="false">IFERROR(B77/D77,"")</f>
        <v>7631.47909961569</v>
      </c>
      <c r="F77" s="20" t="n">
        <f aca="false">Stellschrauben!$C$15*C77*Stellschrauben!$C$16</f>
        <v>1051.2</v>
      </c>
      <c r="G77" s="20" t="n">
        <f aca="false">IFERROR(B77/F77,"")</f>
        <v>29.0391137732713</v>
      </c>
      <c r="H77" s="6" t="str">
        <f aca="false">IF(G77&lt;3,"aktive Schleife",IF(G77&lt;10,"Idle-Pause",IF(G77&lt;30,"zäh","WALL")))</f>
        <v>zäh</v>
      </c>
    </row>
    <row r="78" customFormat="false" ht="15" hidden="false" customHeight="false" outlineLevel="0" collapsed="false">
      <c r="A78" s="6" t="n">
        <v>74</v>
      </c>
      <c r="B78" s="19" t="n">
        <f aca="false">Stellschrauben!$C$11*Stellschrauben!$C$10^A78</f>
        <v>33883.7672022937</v>
      </c>
      <c r="C78" s="20" t="n">
        <f aca="false">Stellschrauben!$C$12*A78*Stellschrauben!$C$14^INT(A78/Stellschrauben!$C$13)</f>
        <v>296</v>
      </c>
      <c r="D78" s="20" t="n">
        <f aca="false">C78-C77</f>
        <v>4</v>
      </c>
      <c r="E78" s="20" t="n">
        <f aca="false">IFERROR(B78/D78,"")</f>
        <v>8470.94180057342</v>
      </c>
      <c r="F78" s="20" t="n">
        <f aca="false">Stellschrauben!$C$15*C78*Stellschrauben!$C$16</f>
        <v>1065.6</v>
      </c>
      <c r="G78" s="20" t="n">
        <f aca="false">IFERROR(B78/F78,"")</f>
        <v>31.7978295817321</v>
      </c>
      <c r="H78" s="6" t="str">
        <f aca="false">IF(G78&lt;3,"aktive Schleife",IF(G78&lt;10,"Idle-Pause",IF(G78&lt;30,"zäh","WALL")))</f>
        <v>WALL</v>
      </c>
    </row>
    <row r="79" customFormat="false" ht="15" hidden="false" customHeight="false" outlineLevel="0" collapsed="false">
      <c r="A79" s="6" t="n">
        <v>75</v>
      </c>
      <c r="B79" s="19" t="n">
        <f aca="false">Stellschrauben!$C$11*Stellschrauben!$C$10^A79</f>
        <v>37610.981594546</v>
      </c>
      <c r="C79" s="20" t="n">
        <f aca="false">Stellschrauben!$C$12*A79*Stellschrauben!$C$14^INT(A79/Stellschrauben!$C$13)</f>
        <v>600</v>
      </c>
      <c r="D79" s="20" t="n">
        <f aca="false">C79-C78</f>
        <v>304</v>
      </c>
      <c r="E79" s="20" t="n">
        <f aca="false">IFERROR(B79/D79,"")</f>
        <v>123.720334192585</v>
      </c>
      <c r="F79" s="20" t="n">
        <f aca="false">Stellschrauben!$C$15*C79*Stellschrauben!$C$16</f>
        <v>2160</v>
      </c>
      <c r="G79" s="20" t="n">
        <f aca="false">IFERROR(B79/F79,"")</f>
        <v>17.4124914789565</v>
      </c>
      <c r="H79" s="6" t="str">
        <f aca="false">IF(G79&lt;3,"aktive Schleife",IF(G79&lt;10,"Idle-Pause",IF(G79&lt;30,"zäh","WALL")))</f>
        <v>zäh</v>
      </c>
    </row>
    <row r="80" customFormat="false" ht="15" hidden="false" customHeight="false" outlineLevel="0" collapsed="false">
      <c r="A80" s="6" t="n">
        <v>76</v>
      </c>
      <c r="B80" s="19" t="n">
        <f aca="false">Stellschrauben!$C$11*Stellschrauben!$C$10^A80</f>
        <v>41748.1895699461</v>
      </c>
      <c r="C80" s="20" t="n">
        <f aca="false">Stellschrauben!$C$12*A80*Stellschrauben!$C$14^INT(A80/Stellschrauben!$C$13)</f>
        <v>608</v>
      </c>
      <c r="D80" s="20" t="n">
        <f aca="false">C80-C79</f>
        <v>8</v>
      </c>
      <c r="E80" s="20" t="n">
        <f aca="false">IFERROR(B80/D80,"")</f>
        <v>5218.52369624326</v>
      </c>
      <c r="F80" s="20" t="n">
        <f aca="false">Stellschrauben!$C$15*C80*Stellschrauben!$C$16</f>
        <v>2188.8</v>
      </c>
      <c r="G80" s="20" t="n">
        <f aca="false">IFERROR(B80/F80,"")</f>
        <v>19.0735515213569</v>
      </c>
      <c r="H80" s="6" t="str">
        <f aca="false">IF(G80&lt;3,"aktive Schleife",IF(G80&lt;10,"Idle-Pause",IF(G80&lt;30,"zäh","WALL")))</f>
        <v>zäh</v>
      </c>
    </row>
    <row r="81" customFormat="false" ht="15" hidden="false" customHeight="false" outlineLevel="0" collapsed="false">
      <c r="A81" s="6" t="n">
        <v>77</v>
      </c>
      <c r="B81" s="19" t="n">
        <f aca="false">Stellschrauben!$C$11*Stellschrauben!$C$10^A81</f>
        <v>46340.4904226401</v>
      </c>
      <c r="C81" s="20" t="n">
        <f aca="false">Stellschrauben!$C$12*A81*Stellschrauben!$C$14^INT(A81/Stellschrauben!$C$13)</f>
        <v>616</v>
      </c>
      <c r="D81" s="20" t="n">
        <f aca="false">C81-C80</f>
        <v>8</v>
      </c>
      <c r="E81" s="20" t="n">
        <f aca="false">IFERROR(B81/D81,"")</f>
        <v>5792.56130283002</v>
      </c>
      <c r="F81" s="20" t="n">
        <f aca="false">Stellschrauben!$C$15*C81*Stellschrauben!$C$16</f>
        <v>2217.6</v>
      </c>
      <c r="G81" s="20" t="n">
        <f aca="false">IFERROR(B81/F81,"")</f>
        <v>20.8966857966451</v>
      </c>
      <c r="H81" s="6" t="str">
        <f aca="false">IF(G81&lt;3,"aktive Schleife",IF(G81&lt;10,"Idle-Pause",IF(G81&lt;30,"zäh","WALL")))</f>
        <v>zäh</v>
      </c>
    </row>
    <row r="82" customFormat="false" ht="15" hidden="false" customHeight="false" outlineLevel="0" collapsed="false">
      <c r="A82" s="6" t="n">
        <v>78</v>
      </c>
      <c r="B82" s="19" t="n">
        <f aca="false">Stellschrauben!$C$11*Stellschrauben!$C$10^A82</f>
        <v>51437.9443691305</v>
      </c>
      <c r="C82" s="20" t="n">
        <f aca="false">Stellschrauben!$C$12*A82*Stellschrauben!$C$14^INT(A82/Stellschrauben!$C$13)</f>
        <v>624</v>
      </c>
      <c r="D82" s="20" t="n">
        <f aca="false">C82-C81</f>
        <v>8</v>
      </c>
      <c r="E82" s="20" t="n">
        <f aca="false">IFERROR(B82/D82,"")</f>
        <v>6429.74304614132</v>
      </c>
      <c r="F82" s="20" t="n">
        <f aca="false">Stellschrauben!$C$15*C82*Stellschrauben!$C$16</f>
        <v>2246.4</v>
      </c>
      <c r="G82" s="20" t="n">
        <f aca="false">IFERROR(B82/F82,"")</f>
        <v>22.8979453210161</v>
      </c>
      <c r="H82" s="6" t="str">
        <f aca="false">IF(G82&lt;3,"aktive Schleife",IF(G82&lt;10,"Idle-Pause",IF(G82&lt;30,"zäh","WALL")))</f>
        <v>zäh</v>
      </c>
    </row>
    <row r="83" customFormat="false" ht="15" hidden="false" customHeight="false" outlineLevel="0" collapsed="false">
      <c r="A83" s="6" t="n">
        <v>79</v>
      </c>
      <c r="B83" s="19" t="n">
        <f aca="false">Stellschrauben!$C$11*Stellschrauben!$C$10^A83</f>
        <v>57096.1182497349</v>
      </c>
      <c r="C83" s="20" t="n">
        <f aca="false">Stellschrauben!$C$12*A83*Stellschrauben!$C$14^INT(A83/Stellschrauben!$C$13)</f>
        <v>632</v>
      </c>
      <c r="D83" s="20" t="n">
        <f aca="false">C83-C82</f>
        <v>8</v>
      </c>
      <c r="E83" s="20" t="n">
        <f aca="false">IFERROR(B83/D83,"")</f>
        <v>7137.01478121686</v>
      </c>
      <c r="F83" s="20" t="n">
        <f aca="false">Stellschrauben!$C$15*C83*Stellschrauben!$C$16</f>
        <v>2275.2</v>
      </c>
      <c r="G83" s="20" t="n">
        <f aca="false">IFERROR(B83/F83,"")</f>
        <v>25.0949886821971</v>
      </c>
      <c r="H83" s="6" t="str">
        <f aca="false">IF(G83&lt;3,"aktive Schleife",IF(G83&lt;10,"Idle-Pause",IF(G83&lt;30,"zäh","WALL")))</f>
        <v>zäh</v>
      </c>
    </row>
    <row r="84" customFormat="false" ht="15" hidden="false" customHeight="false" outlineLevel="0" collapsed="false">
      <c r="A84" s="6" t="n">
        <v>80</v>
      </c>
      <c r="B84" s="19" t="n">
        <f aca="false">Stellschrauben!$C$11*Stellschrauben!$C$10^A84</f>
        <v>63376.6912572057</v>
      </c>
      <c r="C84" s="20" t="n">
        <f aca="false">Stellschrauben!$C$12*A84*Stellschrauben!$C$14^INT(A84/Stellschrauben!$C$13)</f>
        <v>640</v>
      </c>
      <c r="D84" s="20" t="n">
        <f aca="false">C84-C83</f>
        <v>8</v>
      </c>
      <c r="E84" s="20" t="n">
        <f aca="false">IFERROR(B84/D84,"")</f>
        <v>7922.08640715072</v>
      </c>
      <c r="F84" s="20" t="n">
        <f aca="false">Stellschrauben!$C$15*C84*Stellschrauben!$C$16</f>
        <v>2304</v>
      </c>
      <c r="G84" s="20" t="n">
        <f aca="false">IFERROR(B84/F84,"")</f>
        <v>27.5072444692733</v>
      </c>
      <c r="H84" s="6" t="str">
        <f aca="false">IF(G84&lt;3,"aktive Schleife",IF(G84&lt;10,"Idle-Pause",IF(G84&lt;30,"zäh","WALL")))</f>
        <v>zäh</v>
      </c>
    </row>
    <row r="85" customFormat="false" ht="15" hidden="false" customHeight="false" outlineLevel="0" collapsed="false">
      <c r="A85" s="6" t="n">
        <v>81</v>
      </c>
      <c r="B85" s="19" t="n">
        <f aca="false">Stellschrauben!$C$11*Stellschrauben!$C$10^A85</f>
        <v>70348.1272954984</v>
      </c>
      <c r="C85" s="20" t="n">
        <f aca="false">Stellschrauben!$C$12*A85*Stellschrauben!$C$14^INT(A85/Stellschrauben!$C$13)</f>
        <v>648</v>
      </c>
      <c r="D85" s="20" t="n">
        <f aca="false">C85-C84</f>
        <v>8</v>
      </c>
      <c r="E85" s="20" t="n">
        <f aca="false">IFERROR(B85/D85,"")</f>
        <v>8793.5159119373</v>
      </c>
      <c r="F85" s="20" t="n">
        <f aca="false">Stellschrauben!$C$15*C85*Stellschrauben!$C$16</f>
        <v>2332.8</v>
      </c>
      <c r="G85" s="20" t="n">
        <f aca="false">IFERROR(B85/F85,"")</f>
        <v>30.1560902329811</v>
      </c>
      <c r="H85" s="6" t="str">
        <f aca="false">IF(G85&lt;3,"aktive Schleife",IF(G85&lt;10,"Idle-Pause",IF(G85&lt;30,"zäh","WALL")))</f>
        <v>WALL</v>
      </c>
    </row>
    <row r="86" customFormat="false" ht="15" hidden="false" customHeight="false" outlineLevel="0" collapsed="false">
      <c r="A86" s="6" t="n">
        <v>82</v>
      </c>
      <c r="B86" s="19" t="n">
        <f aca="false">Stellschrauben!$C$11*Stellschrauben!$C$10^A86</f>
        <v>78086.4212980032</v>
      </c>
      <c r="C86" s="20" t="n">
        <f aca="false">Stellschrauben!$C$12*A86*Stellschrauben!$C$14^INT(A86/Stellschrauben!$C$13)</f>
        <v>656</v>
      </c>
      <c r="D86" s="20" t="n">
        <f aca="false">C86-C85</f>
        <v>8</v>
      </c>
      <c r="E86" s="20" t="n">
        <f aca="false">IFERROR(B86/D86,"")</f>
        <v>9760.8026622504</v>
      </c>
      <c r="F86" s="20" t="n">
        <f aca="false">Stellschrauben!$C$15*C86*Stellschrauben!$C$16</f>
        <v>2361.6</v>
      </c>
      <c r="G86" s="20" t="n">
        <f aca="false">IFERROR(B86/F86,"")</f>
        <v>33.0650496688699</v>
      </c>
      <c r="H86" s="6" t="str">
        <f aca="false">IF(G86&lt;3,"aktive Schleife",IF(G86&lt;10,"Idle-Pause",IF(G86&lt;30,"zäh","WALL")))</f>
        <v>WALL</v>
      </c>
    </row>
    <row r="87" customFormat="false" ht="15" hidden="false" customHeight="false" outlineLevel="0" collapsed="false">
      <c r="A87" s="6" t="n">
        <v>83</v>
      </c>
      <c r="B87" s="19" t="n">
        <f aca="false">Stellschrauben!$C$11*Stellschrauben!$C$10^A87</f>
        <v>86675.9276407836</v>
      </c>
      <c r="C87" s="20" t="n">
        <f aca="false">Stellschrauben!$C$12*A87*Stellschrauben!$C$14^INT(A87/Stellschrauben!$C$13)</f>
        <v>664</v>
      </c>
      <c r="D87" s="20" t="n">
        <f aca="false">C87-C86</f>
        <v>8</v>
      </c>
      <c r="E87" s="20" t="n">
        <f aca="false">IFERROR(B87/D87,"")</f>
        <v>10834.4909550979</v>
      </c>
      <c r="F87" s="20" t="n">
        <f aca="false">Stellschrauben!$C$15*C87*Stellschrauben!$C$16</f>
        <v>2390.4</v>
      </c>
      <c r="G87" s="20" t="n">
        <f aca="false">IFERROR(B87/F87,"")</f>
        <v>36.260009889886</v>
      </c>
      <c r="H87" s="6" t="str">
        <f aca="false">IF(G87&lt;3,"aktive Schleife",IF(G87&lt;10,"Idle-Pause",IF(G87&lt;30,"zäh","WALL")))</f>
        <v>WALL</v>
      </c>
    </row>
    <row r="88" customFormat="false" ht="15" hidden="false" customHeight="false" outlineLevel="0" collapsed="false">
      <c r="A88" s="6" t="n">
        <v>84</v>
      </c>
      <c r="B88" s="19" t="n">
        <f aca="false">Stellschrauben!$C$11*Stellschrauben!$C$10^A88</f>
        <v>96210.2796812698</v>
      </c>
      <c r="C88" s="20" t="n">
        <f aca="false">Stellschrauben!$C$12*A88*Stellschrauben!$C$14^INT(A88/Stellschrauben!$C$13)</f>
        <v>672</v>
      </c>
      <c r="D88" s="20" t="n">
        <f aca="false">C88-C87</f>
        <v>8</v>
      </c>
      <c r="E88" s="20" t="n">
        <f aca="false">IFERROR(B88/D88,"")</f>
        <v>12026.2849601587</v>
      </c>
      <c r="F88" s="20" t="n">
        <f aca="false">Stellschrauben!$C$15*C88*Stellschrauben!$C$16</f>
        <v>2419.2</v>
      </c>
      <c r="G88" s="20" t="n">
        <f aca="false">IFERROR(B88/F88,"")</f>
        <v>39.7694608470857</v>
      </c>
      <c r="H88" s="6" t="str">
        <f aca="false">IF(G88&lt;3,"aktive Schleife",IF(G88&lt;10,"Idle-Pause",IF(G88&lt;30,"zäh","WALL")))</f>
        <v>WALL</v>
      </c>
    </row>
    <row r="89" customFormat="false" ht="15" hidden="false" customHeight="false" outlineLevel="0" collapsed="false">
      <c r="A89" s="6" t="n">
        <v>85</v>
      </c>
      <c r="B89" s="19" t="n">
        <f aca="false">Stellschrauben!$C$11*Stellschrauben!$C$10^A89</f>
        <v>106793.410446209</v>
      </c>
      <c r="C89" s="20" t="n">
        <f aca="false">Stellschrauben!$C$12*A89*Stellschrauben!$C$14^INT(A89/Stellschrauben!$C$13)</f>
        <v>680</v>
      </c>
      <c r="D89" s="20" t="n">
        <f aca="false">C89-C88</f>
        <v>8</v>
      </c>
      <c r="E89" s="20" t="n">
        <f aca="false">IFERROR(B89/D89,"")</f>
        <v>13349.1763057762</v>
      </c>
      <c r="F89" s="20" t="n">
        <f aca="false">Stellschrauben!$C$15*C89*Stellschrauben!$C$16</f>
        <v>2448</v>
      </c>
      <c r="G89" s="20" t="n">
        <f aca="false">IFERROR(B89/F89,"")</f>
        <v>43.6247591692032</v>
      </c>
      <c r="H89" s="6" t="str">
        <f aca="false">IF(G89&lt;3,"aktive Schleife",IF(G89&lt;10,"Idle-Pause",IF(G89&lt;30,"zäh","WALL")))</f>
        <v>WALL</v>
      </c>
    </row>
    <row r="90" customFormat="false" ht="15" hidden="false" customHeight="false" outlineLevel="0" collapsed="false">
      <c r="A90" s="6" t="n">
        <v>86</v>
      </c>
      <c r="B90" s="19" t="n">
        <f aca="false">Stellschrauben!$C$11*Stellschrauben!$C$10^A90</f>
        <v>118540.685595293</v>
      </c>
      <c r="C90" s="20" t="n">
        <f aca="false">Stellschrauben!$C$12*A90*Stellschrauben!$C$14^INT(A90/Stellschrauben!$C$13)</f>
        <v>688</v>
      </c>
      <c r="D90" s="20" t="n">
        <f aca="false">C90-C89</f>
        <v>8</v>
      </c>
      <c r="E90" s="20" t="n">
        <f aca="false">IFERROR(B90/D90,"")</f>
        <v>14817.5856994116</v>
      </c>
      <c r="F90" s="20" t="n">
        <f aca="false">Stellschrauben!$C$15*C90*Stellschrauben!$C$16</f>
        <v>2476.8</v>
      </c>
      <c r="G90" s="20" t="n">
        <f aca="false">IFERROR(B90/F90,"")</f>
        <v>47.860418925748</v>
      </c>
      <c r="H90" s="6" t="str">
        <f aca="false">IF(G90&lt;3,"aktive Schleife",IF(G90&lt;10,"Idle-Pause",IF(G90&lt;30,"zäh","WALL")))</f>
        <v>WALL</v>
      </c>
    </row>
    <row r="91" customFormat="false" ht="15" hidden="false" customHeight="false" outlineLevel="0" collapsed="false">
      <c r="A91" s="6" t="n">
        <v>87</v>
      </c>
      <c r="B91" s="19" t="n">
        <f aca="false">Stellschrauben!$C$11*Stellschrauben!$C$10^A91</f>
        <v>131580.161010775</v>
      </c>
      <c r="C91" s="20" t="n">
        <f aca="false">Stellschrauben!$C$12*A91*Stellschrauben!$C$14^INT(A91/Stellschrauben!$C$13)</f>
        <v>696</v>
      </c>
      <c r="D91" s="20" t="n">
        <f aca="false">C91-C90</f>
        <v>8</v>
      </c>
      <c r="E91" s="20" t="n">
        <f aca="false">IFERROR(B91/D91,"")</f>
        <v>16447.5201263468</v>
      </c>
      <c r="F91" s="20" t="n">
        <f aca="false">Stellschrauben!$C$15*C91*Stellschrauben!$C$16</f>
        <v>2505.6</v>
      </c>
      <c r="G91" s="20" t="n">
        <f aca="false">IFERROR(B91/F91,"")</f>
        <v>52.5144320764586</v>
      </c>
      <c r="H91" s="6" t="str">
        <f aca="false">IF(G91&lt;3,"aktive Schleife",IF(G91&lt;10,"Idle-Pause",IF(G91&lt;30,"zäh","WALL")))</f>
        <v>WALL</v>
      </c>
    </row>
    <row r="92" customFormat="false" ht="15" hidden="false" customHeight="false" outlineLevel="0" collapsed="false">
      <c r="A92" s="6" t="n">
        <v>88</v>
      </c>
      <c r="B92" s="19" t="n">
        <f aca="false">Stellschrauben!$C$11*Stellschrauben!$C$10^A92</f>
        <v>146053.97872196</v>
      </c>
      <c r="C92" s="20" t="n">
        <f aca="false">Stellschrauben!$C$12*A92*Stellschrauben!$C$14^INT(A92/Stellschrauben!$C$13)</f>
        <v>704</v>
      </c>
      <c r="D92" s="20" t="n">
        <f aca="false">C92-C91</f>
        <v>8</v>
      </c>
      <c r="E92" s="20" t="n">
        <f aca="false">IFERROR(B92/D92,"")</f>
        <v>18256.747340245</v>
      </c>
      <c r="F92" s="20" t="n">
        <f aca="false">Stellschrauben!$C$15*C92*Stellschrauben!$C$16</f>
        <v>2534.4</v>
      </c>
      <c r="G92" s="20" t="n">
        <f aca="false">IFERROR(B92/F92,"")</f>
        <v>57.6286216548137</v>
      </c>
      <c r="H92" s="6" t="str">
        <f aca="false">IF(G92&lt;3,"aktive Schleife",IF(G92&lt;10,"Idle-Pause",IF(G92&lt;30,"zäh","WALL")))</f>
        <v>WALL</v>
      </c>
    </row>
    <row r="93" customFormat="false" ht="15" hidden="false" customHeight="false" outlineLevel="0" collapsed="false">
      <c r="A93" s="6" t="n">
        <v>89</v>
      </c>
      <c r="B93" s="19" t="n">
        <f aca="false">Stellschrauben!$C$11*Stellschrauben!$C$10^A93</f>
        <v>162119.916381376</v>
      </c>
      <c r="C93" s="20" t="n">
        <f aca="false">Stellschrauben!$C$12*A93*Stellschrauben!$C$14^INT(A93/Stellschrauben!$C$13)</f>
        <v>712</v>
      </c>
      <c r="D93" s="20" t="n">
        <f aca="false">C93-C92</f>
        <v>8</v>
      </c>
      <c r="E93" s="20" t="n">
        <f aca="false">IFERROR(B93/D93,"")</f>
        <v>20264.9895476719</v>
      </c>
      <c r="F93" s="20" t="n">
        <f aca="false">Stellschrauben!$C$15*C93*Stellschrauben!$C$16</f>
        <v>2563.2</v>
      </c>
      <c r="G93" s="20" t="n">
        <f aca="false">IFERROR(B93/F93,"")</f>
        <v>63.2490310476652</v>
      </c>
      <c r="H93" s="6" t="str">
        <f aca="false">IF(G93&lt;3,"aktive Schleife",IF(G93&lt;10,"Idle-Pause",IF(G93&lt;30,"zäh","WALL")))</f>
        <v>WALL</v>
      </c>
    </row>
    <row r="94" customFormat="false" ht="15" hidden="false" customHeight="false" outlineLevel="0" collapsed="false">
      <c r="A94" s="6" t="n">
        <v>90</v>
      </c>
      <c r="B94" s="19" t="n">
        <f aca="false">Stellschrauben!$C$11*Stellschrauben!$C$10^A94</f>
        <v>179953.107183327</v>
      </c>
      <c r="C94" s="20" t="n">
        <f aca="false">Stellschrauben!$C$12*A94*Stellschrauben!$C$14^INT(A94/Stellschrauben!$C$13)</f>
        <v>720</v>
      </c>
      <c r="D94" s="20" t="n">
        <f aca="false">C94-C93</f>
        <v>8</v>
      </c>
      <c r="E94" s="20" t="n">
        <f aca="false">IFERROR(B94/D94,"")</f>
        <v>22494.1383979159</v>
      </c>
      <c r="F94" s="20" t="n">
        <f aca="false">Stellschrauben!$C$15*C94*Stellschrauben!$C$16</f>
        <v>2592</v>
      </c>
      <c r="G94" s="20" t="n">
        <f aca="false">IFERROR(B94/F94,"")</f>
        <v>69.4263530799872</v>
      </c>
      <c r="H94" s="6" t="str">
        <f aca="false">IF(G94&lt;3,"aktive Schleife",IF(G94&lt;10,"Idle-Pause",IF(G94&lt;30,"zäh","WALL")))</f>
        <v>WALL</v>
      </c>
    </row>
    <row r="95" customFormat="false" ht="15" hidden="false" customHeight="false" outlineLevel="0" collapsed="false">
      <c r="A95" s="6" t="n">
        <v>91</v>
      </c>
      <c r="B95" s="19" t="n">
        <f aca="false">Stellschrauben!$C$11*Stellschrauben!$C$10^A95</f>
        <v>199747.948973493</v>
      </c>
      <c r="C95" s="20" t="n">
        <f aca="false">Stellschrauben!$C$12*A95*Stellschrauben!$C$14^INT(A95/Stellschrauben!$C$13)</f>
        <v>728</v>
      </c>
      <c r="D95" s="20" t="n">
        <f aca="false">C95-C94</f>
        <v>8</v>
      </c>
      <c r="E95" s="20" t="n">
        <f aca="false">IFERROR(B95/D95,"")</f>
        <v>24968.4936216866</v>
      </c>
      <c r="F95" s="20" t="n">
        <f aca="false">Stellschrauben!$C$15*C95*Stellschrauben!$C$16</f>
        <v>2620.8</v>
      </c>
      <c r="G95" s="20" t="n">
        <f aca="false">IFERROR(B95/F95,"")</f>
        <v>76.2164029966014</v>
      </c>
      <c r="H95" s="6" t="str">
        <f aca="false">IF(G95&lt;3,"aktive Schleife",IF(G95&lt;10,"Idle-Pause",IF(G95&lt;30,"zäh","WALL")))</f>
        <v>WALL</v>
      </c>
    </row>
    <row r="96" customFormat="false" ht="15" hidden="false" customHeight="false" outlineLevel="0" collapsed="false">
      <c r="A96" s="6" t="n">
        <v>92</v>
      </c>
      <c r="B96" s="19" t="n">
        <f aca="false">Stellschrauben!$C$11*Stellschrauben!$C$10^A96</f>
        <v>221720.223360577</v>
      </c>
      <c r="C96" s="20" t="n">
        <f aca="false">Stellschrauben!$C$12*A96*Stellschrauben!$C$14^INT(A96/Stellschrauben!$C$13)</f>
        <v>736</v>
      </c>
      <c r="D96" s="20" t="n">
        <f aca="false">C96-C95</f>
        <v>8</v>
      </c>
      <c r="E96" s="20" t="n">
        <f aca="false">IFERROR(B96/D96,"")</f>
        <v>27715.0279200721</v>
      </c>
      <c r="F96" s="20" t="n">
        <f aca="false">Stellschrauben!$C$15*C96*Stellschrauben!$C$16</f>
        <v>2649.6</v>
      </c>
      <c r="G96" s="20" t="n">
        <f aca="false">IFERROR(B96/F96,"")</f>
        <v>83.6806398552903</v>
      </c>
      <c r="H96" s="6" t="str">
        <f aca="false">IF(G96&lt;3,"aktive Schleife",IF(G96&lt;10,"Idle-Pause",IF(G96&lt;30,"zäh","WALL")))</f>
        <v>WALL</v>
      </c>
    </row>
    <row r="97" customFormat="false" ht="15" hidden="false" customHeight="false" outlineLevel="0" collapsed="false">
      <c r="A97" s="6" t="n">
        <v>93</v>
      </c>
      <c r="B97" s="19" t="n">
        <f aca="false">Stellschrauben!$C$11*Stellschrauben!$C$10^A97</f>
        <v>246109.447930241</v>
      </c>
      <c r="C97" s="20" t="n">
        <f aca="false">Stellschrauben!$C$12*A97*Stellschrauben!$C$14^INT(A97/Stellschrauben!$C$13)</f>
        <v>744</v>
      </c>
      <c r="D97" s="20" t="n">
        <f aca="false">C97-C96</f>
        <v>8</v>
      </c>
      <c r="E97" s="20" t="n">
        <f aca="false">IFERROR(B97/D97,"")</f>
        <v>30763.6809912801</v>
      </c>
      <c r="F97" s="20" t="n">
        <f aca="false">Stellschrauben!$C$15*C97*Stellschrauben!$C$16</f>
        <v>2678.4</v>
      </c>
      <c r="G97" s="20" t="n">
        <f aca="false">IFERROR(B97/F97,"")</f>
        <v>91.8867413120671</v>
      </c>
      <c r="H97" s="6" t="str">
        <f aca="false">IF(G97&lt;3,"aktive Schleife",IF(G97&lt;10,"Idle-Pause",IF(G97&lt;30,"zäh","WALL")))</f>
        <v>WALL</v>
      </c>
    </row>
    <row r="98" customFormat="false" ht="15" hidden="false" customHeight="false" outlineLevel="0" collapsed="false">
      <c r="A98" s="6" t="n">
        <v>94</v>
      </c>
      <c r="B98" s="19" t="n">
        <f aca="false">Stellschrauben!$C$11*Stellschrauben!$C$10^A98</f>
        <v>273181.487202567</v>
      </c>
      <c r="C98" s="20" t="n">
        <f aca="false">Stellschrauben!$C$12*A98*Stellschrauben!$C$14^INT(A98/Stellschrauben!$C$13)</f>
        <v>752</v>
      </c>
      <c r="D98" s="20" t="n">
        <f aca="false">C98-C97</f>
        <v>8</v>
      </c>
      <c r="E98" s="20" t="n">
        <f aca="false">IFERROR(B98/D98,"")</f>
        <v>34147.6859003209</v>
      </c>
      <c r="F98" s="20" t="n">
        <f aca="false">Stellschrauben!$C$15*C98*Stellschrauben!$C$16</f>
        <v>2707.2</v>
      </c>
      <c r="G98" s="20" t="n">
        <f aca="false">IFERROR(B98/F98,"")</f>
        <v>100.909237294092</v>
      </c>
      <c r="H98" s="6" t="str">
        <f aca="false">IF(G98&lt;3,"aktive Schleife",IF(G98&lt;10,"Idle-Pause",IF(G98&lt;30,"zäh","WALL")))</f>
        <v>WALL</v>
      </c>
    </row>
    <row r="99" customFormat="false" ht="15" hidden="false" customHeight="false" outlineLevel="0" collapsed="false">
      <c r="A99" s="6" t="n">
        <v>95</v>
      </c>
      <c r="B99" s="19" t="n">
        <f aca="false">Stellschrauben!$C$11*Stellschrauben!$C$10^A99</f>
        <v>303231.450794849</v>
      </c>
      <c r="C99" s="20" t="n">
        <f aca="false">Stellschrauben!$C$12*A99*Stellschrauben!$C$14^INT(A99/Stellschrauben!$C$13)</f>
        <v>760</v>
      </c>
      <c r="D99" s="20" t="n">
        <f aca="false">C99-C98</f>
        <v>8</v>
      </c>
      <c r="E99" s="20" t="n">
        <f aca="false">IFERROR(B99/D99,"")</f>
        <v>37903.9313493562</v>
      </c>
      <c r="F99" s="20" t="n">
        <f aca="false">Stellschrauben!$C$15*C99*Stellschrauben!$C$16</f>
        <v>2736</v>
      </c>
      <c r="G99" s="20" t="n">
        <f aca="false">IFERROR(B99/F99,"")</f>
        <v>110.830208623848</v>
      </c>
      <c r="H99" s="6" t="str">
        <f aca="false">IF(G99&lt;3,"aktive Schleife",IF(G99&lt;10,"Idle-Pause",IF(G99&lt;30,"zäh","WALL")))</f>
        <v>WALL</v>
      </c>
    </row>
    <row r="100" customFormat="false" ht="15" hidden="false" customHeight="false" outlineLevel="0" collapsed="false">
      <c r="A100" s="6" t="n">
        <v>96</v>
      </c>
      <c r="B100" s="19" t="n">
        <f aca="false">Stellschrauben!$C$11*Stellschrauben!$C$10^A100</f>
        <v>336586.910382283</v>
      </c>
      <c r="C100" s="20" t="n">
        <f aca="false">Stellschrauben!$C$12*A100*Stellschrauben!$C$14^INT(A100/Stellschrauben!$C$13)</f>
        <v>768</v>
      </c>
      <c r="D100" s="20" t="n">
        <f aca="false">C100-C99</f>
        <v>8</v>
      </c>
      <c r="E100" s="20" t="n">
        <f aca="false">IFERROR(B100/D100,"")</f>
        <v>42073.3637977854</v>
      </c>
      <c r="F100" s="20" t="n">
        <f aca="false">Stellschrauben!$C$15*C100*Stellschrauben!$C$16</f>
        <v>2764.8</v>
      </c>
      <c r="G100" s="20" t="n">
        <f aca="false">IFERROR(B100/F100,"")</f>
        <v>121.740057285259</v>
      </c>
      <c r="H100" s="6" t="str">
        <f aca="false">IF(G100&lt;3,"aktive Schleife",IF(G100&lt;10,"Idle-Pause",IF(G100&lt;30,"zäh","WALL")))</f>
        <v>WALL</v>
      </c>
    </row>
    <row r="101" customFormat="false" ht="15" hidden="false" customHeight="false" outlineLevel="0" collapsed="false">
      <c r="A101" s="6" t="n">
        <v>97</v>
      </c>
      <c r="B101" s="19" t="n">
        <f aca="false">Stellschrauben!$C$11*Stellschrauben!$C$10^A101</f>
        <v>373611.470524334</v>
      </c>
      <c r="C101" s="20" t="n">
        <f aca="false">Stellschrauben!$C$12*A101*Stellschrauben!$C$14^INT(A101/Stellschrauben!$C$13)</f>
        <v>776</v>
      </c>
      <c r="D101" s="20" t="n">
        <f aca="false">C101-C100</f>
        <v>8</v>
      </c>
      <c r="E101" s="20" t="n">
        <f aca="false">IFERROR(B101/D101,"")</f>
        <v>46701.4338155418</v>
      </c>
      <c r="F101" s="20" t="n">
        <f aca="false">Stellschrauben!$C$15*C101*Stellschrauben!$C$16</f>
        <v>2793.6</v>
      </c>
      <c r="G101" s="20" t="n">
        <f aca="false">IFERROR(B101/F101,"")</f>
        <v>133.73835571461</v>
      </c>
      <c r="H101" s="6" t="str">
        <f aca="false">IF(G101&lt;3,"aktive Schleife",IF(G101&lt;10,"Idle-Pause",IF(G101&lt;30,"zäh","WALL")))</f>
        <v>WALL</v>
      </c>
    </row>
    <row r="102" customFormat="false" ht="15" hidden="false" customHeight="false" outlineLevel="0" collapsed="false">
      <c r="A102" s="6" t="n">
        <v>98</v>
      </c>
      <c r="B102" s="19" t="n">
        <f aca="false">Stellschrauben!$C$11*Stellschrauben!$C$10^A102</f>
        <v>414708.732282011</v>
      </c>
      <c r="C102" s="20" t="n">
        <f aca="false">Stellschrauben!$C$12*A102*Stellschrauben!$C$14^INT(A102/Stellschrauben!$C$13)</f>
        <v>784</v>
      </c>
      <c r="D102" s="20" t="n">
        <f aca="false">C102-C101</f>
        <v>8</v>
      </c>
      <c r="E102" s="20" t="n">
        <f aca="false">IFERROR(B102/D102,"")</f>
        <v>51838.5915352514</v>
      </c>
      <c r="F102" s="20" t="n">
        <f aca="false">Stellschrauben!$C$15*C102*Stellschrauben!$C$16</f>
        <v>2822.4</v>
      </c>
      <c r="G102" s="20" t="n">
        <f aca="false">IFERROR(B102/F102,"")</f>
        <v>146.934783263184</v>
      </c>
      <c r="H102" s="6" t="str">
        <f aca="false">IF(G102&lt;3,"aktive Schleife",IF(G102&lt;10,"Idle-Pause",IF(G102&lt;30,"zäh","WALL")))</f>
        <v>WALL</v>
      </c>
    </row>
    <row r="103" customFormat="false" ht="15" hidden="false" customHeight="false" outlineLevel="0" collapsed="false">
      <c r="A103" s="6" t="n">
        <v>99</v>
      </c>
      <c r="B103" s="19" t="n">
        <f aca="false">Stellschrauben!$C$11*Stellschrauben!$C$10^A103</f>
        <v>460326.692833032</v>
      </c>
      <c r="C103" s="20" t="n">
        <f aca="false">Stellschrauben!$C$12*A103*Stellschrauben!$C$14^INT(A103/Stellschrauben!$C$13)</f>
        <v>792</v>
      </c>
      <c r="D103" s="20" t="n">
        <f aca="false">C103-C102</f>
        <v>8</v>
      </c>
      <c r="E103" s="20" t="n">
        <f aca="false">IFERROR(B103/D103,"")</f>
        <v>57540.836604129</v>
      </c>
      <c r="F103" s="20" t="n">
        <f aca="false">Stellschrauben!$C$15*C103*Stellschrauben!$C$16</f>
        <v>2851.2</v>
      </c>
      <c r="G103" s="20" t="n">
        <f aca="false">IFERROR(B103/F103,"")</f>
        <v>161.450158821911</v>
      </c>
      <c r="H103" s="6" t="str">
        <f aca="false">IF(G103&lt;3,"aktive Schleife",IF(G103&lt;10,"Idle-Pause",IF(G103&lt;30,"zäh","WALL")))</f>
        <v>WALL</v>
      </c>
    </row>
    <row r="104" customFormat="false" ht="15" hidden="false" customHeight="false" outlineLevel="0" collapsed="false">
      <c r="A104" s="6" t="n">
        <v>100</v>
      </c>
      <c r="B104" s="19" t="n">
        <f aca="false">Stellschrauben!$C$11*Stellschrauben!$C$10^A104</f>
        <v>510962.629044666</v>
      </c>
      <c r="C104" s="20" t="n">
        <f aca="false">Stellschrauben!$C$12*A104*Stellschrauben!$C$14^INT(A104/Stellschrauben!$C$13)</f>
        <v>1600</v>
      </c>
      <c r="D104" s="20" t="n">
        <f aca="false">C104-C103</f>
        <v>808</v>
      </c>
      <c r="E104" s="20" t="n">
        <f aca="false">IFERROR(B104/D104,"")</f>
        <v>632.379491391913</v>
      </c>
      <c r="F104" s="20" t="n">
        <f aca="false">Stellschrauben!$C$15*C104*Stellschrauben!$C$16</f>
        <v>5760</v>
      </c>
      <c r="G104" s="20" t="n">
        <f aca="false">IFERROR(B104/F104,"")</f>
        <v>88.7087897646989</v>
      </c>
      <c r="H104" s="6" t="str">
        <f aca="false">IF(G104&lt;3,"aktive Schleife",IF(G104&lt;10,"Idle-Pause",IF(G104&lt;30,"zäh","WALL")))</f>
        <v>WALL</v>
      </c>
    </row>
    <row r="105" customFormat="false" ht="15" hidden="false" customHeight="false" outlineLevel="0" collapsed="false">
      <c r="A105" s="6" t="n">
        <v>101</v>
      </c>
      <c r="B105" s="19" t="n">
        <f aca="false">Stellschrauben!$C$11*Stellschrauben!$C$10^A105</f>
        <v>567168.518239579</v>
      </c>
      <c r="C105" s="20" t="n">
        <f aca="false">Stellschrauben!$C$12*A105*Stellschrauben!$C$14^INT(A105/Stellschrauben!$C$13)</f>
        <v>1616</v>
      </c>
      <c r="D105" s="20" t="n">
        <f aca="false">C105-C104</f>
        <v>16</v>
      </c>
      <c r="E105" s="20" t="n">
        <f aca="false">IFERROR(B105/D105,"")</f>
        <v>35448.0323899737</v>
      </c>
      <c r="F105" s="20" t="n">
        <f aca="false">Stellschrauben!$C$15*C105*Stellschrauben!$C$16</f>
        <v>5817.6</v>
      </c>
      <c r="G105" s="20" t="n">
        <f aca="false">IFERROR(B105/F105,"")</f>
        <v>97.4918382562533</v>
      </c>
      <c r="H105" s="6" t="str">
        <f aca="false">IF(G105&lt;3,"aktive Schleife",IF(G105&lt;10,"Idle-Pause",IF(G105&lt;30,"zäh","WALL")))</f>
        <v>WALL</v>
      </c>
    </row>
    <row r="106" customFormat="false" ht="15" hidden="false" customHeight="false" outlineLevel="0" collapsed="false">
      <c r="A106" s="6" t="n">
        <v>102</v>
      </c>
      <c r="B106" s="19" t="n">
        <f aca="false">Stellschrauben!$C$11*Stellschrauben!$C$10^A106</f>
        <v>629557.055245933</v>
      </c>
      <c r="C106" s="20" t="n">
        <f aca="false">Stellschrauben!$C$12*A106*Stellschrauben!$C$14^INT(A106/Stellschrauben!$C$13)</f>
        <v>1632</v>
      </c>
      <c r="D106" s="20" t="n">
        <f aca="false">C106-C105</f>
        <v>16</v>
      </c>
      <c r="E106" s="20" t="n">
        <f aca="false">IFERROR(B106/D106,"")</f>
        <v>39347.3159528708</v>
      </c>
      <c r="F106" s="20" t="n">
        <f aca="false">Stellschrauben!$C$15*C106*Stellschrauben!$C$16</f>
        <v>5875.2</v>
      </c>
      <c r="G106" s="20" t="n">
        <f aca="false">IFERROR(B106/F106,"")</f>
        <v>107.154999871652</v>
      </c>
      <c r="H106" s="6" t="str">
        <f aca="false">IF(G106&lt;3,"aktive Schleife",IF(G106&lt;10,"Idle-Pause",IF(G106&lt;30,"zäh","WALL")))</f>
        <v>WALL</v>
      </c>
    </row>
    <row r="107" customFormat="false" ht="15" hidden="false" customHeight="false" outlineLevel="0" collapsed="false">
      <c r="A107" s="6" t="n">
        <v>103</v>
      </c>
      <c r="B107" s="19" t="n">
        <f aca="false">Stellschrauben!$C$11*Stellschrauben!$C$10^A107</f>
        <v>698808.331322985</v>
      </c>
      <c r="C107" s="20" t="n">
        <f aca="false">Stellschrauben!$C$12*A107*Stellschrauben!$C$14^INT(A107/Stellschrauben!$C$13)</f>
        <v>1648</v>
      </c>
      <c r="D107" s="20" t="n">
        <f aca="false">C107-C106</f>
        <v>16</v>
      </c>
      <c r="E107" s="20" t="n">
        <f aca="false">IFERROR(B107/D107,"")</f>
        <v>43675.5207076866</v>
      </c>
      <c r="F107" s="20" t="n">
        <f aca="false">Stellschrauben!$C$15*C107*Stellschrauben!$C$16</f>
        <v>5932.8</v>
      </c>
      <c r="G107" s="20" t="n">
        <f aca="false">IFERROR(B107/F107,"")</f>
        <v>117.787272674451</v>
      </c>
      <c r="H107" s="6" t="str">
        <f aca="false">IF(G107&lt;3,"aktive Schleife",IF(G107&lt;10,"Idle-Pause",IF(G107&lt;30,"zäh","WALL")))</f>
        <v>WALL</v>
      </c>
    </row>
    <row r="108" customFormat="false" ht="15" hidden="false" customHeight="false" outlineLevel="0" collapsed="false">
      <c r="A108" s="6" t="n">
        <v>104</v>
      </c>
      <c r="B108" s="19" t="n">
        <f aca="false">Stellschrauben!$C$11*Stellschrauben!$C$10^A108</f>
        <v>775677.247768514</v>
      </c>
      <c r="C108" s="20" t="n">
        <f aca="false">Stellschrauben!$C$12*A108*Stellschrauben!$C$14^INT(A108/Stellschrauben!$C$13)</f>
        <v>1664</v>
      </c>
      <c r="D108" s="20" t="n">
        <f aca="false">C108-C107</f>
        <v>16</v>
      </c>
      <c r="E108" s="20" t="n">
        <f aca="false">IFERROR(B108/D108,"")</f>
        <v>48479.8279855321</v>
      </c>
      <c r="F108" s="20" t="n">
        <f aca="false">Stellschrauben!$C$15*C108*Stellschrauben!$C$16</f>
        <v>5990.4</v>
      </c>
      <c r="G108" s="20" t="n">
        <f aca="false">IFERROR(B108/F108,"")</f>
        <v>129.486720046827</v>
      </c>
      <c r="H108" s="6" t="str">
        <f aca="false">IF(G108&lt;3,"aktive Schleife",IF(G108&lt;10,"Idle-Pause",IF(G108&lt;30,"zäh","WALL")))</f>
        <v>WALL</v>
      </c>
    </row>
    <row r="109" customFormat="false" ht="15" hidden="false" customHeight="false" outlineLevel="0" collapsed="false">
      <c r="A109" s="6" t="n">
        <v>105</v>
      </c>
      <c r="B109" s="19" t="n">
        <f aca="false">Stellschrauben!$C$11*Stellschrauben!$C$10^A109</f>
        <v>861001.745023051</v>
      </c>
      <c r="C109" s="20" t="n">
        <f aca="false">Stellschrauben!$C$12*A109*Stellschrauben!$C$14^INT(A109/Stellschrauben!$C$13)</f>
        <v>1680</v>
      </c>
      <c r="D109" s="20" t="n">
        <f aca="false">C109-C108</f>
        <v>16</v>
      </c>
      <c r="E109" s="20" t="n">
        <f aca="false">IFERROR(B109/D109,"")</f>
        <v>53812.6090639407</v>
      </c>
      <c r="F109" s="20" t="n">
        <f aca="false">Stellschrauben!$C$15*C109*Stellschrauben!$C$16</f>
        <v>6048</v>
      </c>
      <c r="G109" s="20" t="n">
        <f aca="false">IFERROR(B109/F109,"")</f>
        <v>142.361399640055</v>
      </c>
      <c r="H109" s="6" t="str">
        <f aca="false">IF(G109&lt;3,"aktive Schleife",IF(G109&lt;10,"Idle-Pause",IF(G109&lt;30,"zäh","WALL")))</f>
        <v>WALL</v>
      </c>
    </row>
    <row r="110" customFormat="false" ht="15" hidden="false" customHeight="false" outlineLevel="0" collapsed="false">
      <c r="A110" s="6" t="n">
        <v>106</v>
      </c>
      <c r="B110" s="19" t="n">
        <f aca="false">Stellschrauben!$C$11*Stellschrauben!$C$10^A110</f>
        <v>955711.936975586</v>
      </c>
      <c r="C110" s="20" t="n">
        <f aca="false">Stellschrauben!$C$12*A110*Stellschrauben!$C$14^INT(A110/Stellschrauben!$C$13)</f>
        <v>1696</v>
      </c>
      <c r="D110" s="20" t="n">
        <f aca="false">C110-C109</f>
        <v>16</v>
      </c>
      <c r="E110" s="20" t="n">
        <f aca="false">IFERROR(B110/D110,"")</f>
        <v>59731.9960609741</v>
      </c>
      <c r="F110" s="20" t="n">
        <f aca="false">Stellschrauben!$C$15*C110*Stellschrauben!$C$16</f>
        <v>6105.6</v>
      </c>
      <c r="G110" s="20" t="n">
        <f aca="false">IFERROR(B110/F110,"")</f>
        <v>156.530388000456</v>
      </c>
      <c r="H110" s="6" t="str">
        <f aca="false">IF(G110&lt;3,"aktive Schleife",IF(G110&lt;10,"Idle-Pause",IF(G110&lt;30,"zäh","WALL")))</f>
        <v>WALL</v>
      </c>
    </row>
    <row r="111" customFormat="false" ht="15" hidden="false" customHeight="false" outlineLevel="0" collapsed="false">
      <c r="A111" s="6" t="n">
        <v>107</v>
      </c>
      <c r="B111" s="19" t="n">
        <f aca="false">Stellschrauben!$C$11*Stellschrauben!$C$10^A111</f>
        <v>1060840.2500429</v>
      </c>
      <c r="C111" s="20" t="n">
        <f aca="false">Stellschrauben!$C$12*A111*Stellschrauben!$C$14^INT(A111/Stellschrauben!$C$13)</f>
        <v>1712</v>
      </c>
      <c r="D111" s="20" t="n">
        <f aca="false">C111-C110</f>
        <v>16</v>
      </c>
      <c r="E111" s="20" t="n">
        <f aca="false">IFERROR(B111/D111,"")</f>
        <v>66302.5156276813</v>
      </c>
      <c r="F111" s="20" t="n">
        <f aca="false">Stellschrauben!$C$15*C111*Stellschrauben!$C$16</f>
        <v>6163.2</v>
      </c>
      <c r="G111" s="20" t="n">
        <f aca="false">IFERROR(B111/F111,"")</f>
        <v>172.124910767605</v>
      </c>
      <c r="H111" s="6" t="str">
        <f aca="false">IF(G111&lt;3,"aktive Schleife",IF(G111&lt;10,"Idle-Pause",IF(G111&lt;30,"zäh","WALL")))</f>
        <v>WALL</v>
      </c>
    </row>
    <row r="112" customFormat="false" ht="15" hidden="false" customHeight="false" outlineLevel="0" collapsed="false">
      <c r="A112" s="6" t="n">
        <v>108</v>
      </c>
      <c r="B112" s="19" t="n">
        <f aca="false">Stellschrauben!$C$11*Stellschrauben!$C$10^A112</f>
        <v>1177532.67754762</v>
      </c>
      <c r="C112" s="20" t="n">
        <f aca="false">Stellschrauben!$C$12*A112*Stellschrauben!$C$14^INT(A112/Stellschrauben!$C$13)</f>
        <v>1728</v>
      </c>
      <c r="D112" s="20" t="n">
        <f aca="false">C112-C111</f>
        <v>16</v>
      </c>
      <c r="E112" s="20" t="n">
        <f aca="false">IFERROR(B112/D112,"")</f>
        <v>73595.7923467262</v>
      </c>
      <c r="F112" s="20" t="n">
        <f aca="false">Stellschrauben!$C$15*C112*Stellschrauben!$C$16</f>
        <v>6220.8</v>
      </c>
      <c r="G112" s="20" t="n">
        <f aca="false">IFERROR(B112/F112,"")</f>
        <v>189.289589369152</v>
      </c>
      <c r="H112" s="6" t="str">
        <f aca="false">IF(G112&lt;3,"aktive Schleife",IF(G112&lt;10,"Idle-Pause",IF(G112&lt;30,"zäh","WALL")))</f>
        <v>WALL</v>
      </c>
    </row>
    <row r="113" customFormat="false" ht="15" hidden="false" customHeight="false" outlineLevel="0" collapsed="false">
      <c r="A113" s="6" t="n">
        <v>109</v>
      </c>
      <c r="B113" s="19" t="n">
        <f aca="false">Stellschrauben!$C$11*Stellschrauben!$C$10^A113</f>
        <v>1307061.27207786</v>
      </c>
      <c r="C113" s="20" t="n">
        <f aca="false">Stellschrauben!$C$12*A113*Stellschrauben!$C$14^INT(A113/Stellschrauben!$C$13)</f>
        <v>1744</v>
      </c>
      <c r="D113" s="20" t="n">
        <f aca="false">C113-C112</f>
        <v>16</v>
      </c>
      <c r="E113" s="20" t="n">
        <f aca="false">IFERROR(B113/D113,"")</f>
        <v>81691.3295048661</v>
      </c>
      <c r="F113" s="20" t="n">
        <f aca="false">Stellschrauben!$C$15*C113*Stellschrauben!$C$16</f>
        <v>6278.4</v>
      </c>
      <c r="G113" s="20" t="n">
        <f aca="false">IFERROR(B113/F113,"")</f>
        <v>208.18381627132</v>
      </c>
      <c r="H113" s="6" t="str">
        <f aca="false">IF(G113&lt;3,"aktive Schleife",IF(G113&lt;10,"Idle-Pause",IF(G113&lt;30,"zäh","WALL")))</f>
        <v>WALL</v>
      </c>
    </row>
    <row r="114" customFormat="false" ht="15" hidden="false" customHeight="false" outlineLevel="0" collapsed="false">
      <c r="A114" s="6" t="n">
        <v>110</v>
      </c>
      <c r="B114" s="19" t="n">
        <f aca="false">Stellschrauben!$C$11*Stellschrauben!$C$10^A114</f>
        <v>1450838.01200642</v>
      </c>
      <c r="C114" s="20" t="n">
        <f aca="false">Stellschrauben!$C$12*A114*Stellschrauben!$C$14^INT(A114/Stellschrauben!$C$13)</f>
        <v>1760</v>
      </c>
      <c r="D114" s="20" t="n">
        <f aca="false">C114-C113</f>
        <v>16</v>
      </c>
      <c r="E114" s="20" t="n">
        <f aca="false">IFERROR(B114/D114,"")</f>
        <v>90677.3757504014</v>
      </c>
      <c r="F114" s="20" t="n">
        <f aca="false">Stellschrauben!$C$15*C114*Stellschrauben!$C$16</f>
        <v>6336</v>
      </c>
      <c r="G114" s="20" t="n">
        <f aca="false">IFERROR(B114/F114,"")</f>
        <v>228.983272096973</v>
      </c>
      <c r="H114" s="6" t="str">
        <f aca="false">IF(G114&lt;3,"aktive Schleife",IF(G114&lt;10,"Idle-Pause",IF(G114&lt;30,"zäh","WALL")))</f>
        <v>WALL</v>
      </c>
    </row>
    <row r="115" customFormat="false" ht="15" hidden="false" customHeight="false" outlineLevel="0" collapsed="false">
      <c r="A115" s="6" t="n">
        <v>111</v>
      </c>
      <c r="B115" s="19" t="n">
        <f aca="false">Stellschrauben!$C$11*Stellschrauben!$C$10^A115</f>
        <v>1610430.19332713</v>
      </c>
      <c r="C115" s="20" t="n">
        <f aca="false">Stellschrauben!$C$12*A115*Stellschrauben!$C$14^INT(A115/Stellschrauben!$C$13)</f>
        <v>1776</v>
      </c>
      <c r="D115" s="20" t="n">
        <f aca="false">C115-C114</f>
        <v>16</v>
      </c>
      <c r="E115" s="20" t="n">
        <f aca="false">IFERROR(B115/D115,"")</f>
        <v>100651.887082946</v>
      </c>
      <c r="F115" s="20" t="n">
        <f aca="false">Stellschrauben!$C$15*C115*Stellschrauben!$C$16</f>
        <v>6393.6</v>
      </c>
      <c r="G115" s="20" t="n">
        <f aca="false">IFERROR(B115/F115,"")</f>
        <v>251.881599306671</v>
      </c>
      <c r="H115" s="6" t="str">
        <f aca="false">IF(G115&lt;3,"aktive Schleife",IF(G115&lt;10,"Idle-Pause",IF(G115&lt;30,"zäh","WALL")))</f>
        <v>WALL</v>
      </c>
    </row>
    <row r="116" customFormat="false" ht="15" hidden="false" customHeight="false" outlineLevel="0" collapsed="false">
      <c r="A116" s="6" t="n">
        <v>112</v>
      </c>
      <c r="B116" s="19" t="n">
        <f aca="false">Stellschrauben!$C$11*Stellschrauben!$C$10^A116</f>
        <v>1787577.51459311</v>
      </c>
      <c r="C116" s="20" t="n">
        <f aca="false">Stellschrauben!$C$12*A116*Stellschrauben!$C$14^INT(A116/Stellschrauben!$C$13)</f>
        <v>1792</v>
      </c>
      <c r="D116" s="20" t="n">
        <f aca="false">C116-C115</f>
        <v>16</v>
      </c>
      <c r="E116" s="20" t="n">
        <f aca="false">IFERROR(B116/D116,"")</f>
        <v>111723.59466207</v>
      </c>
      <c r="F116" s="20" t="n">
        <f aca="false">Stellschrauben!$C$15*C116*Stellschrauben!$C$16</f>
        <v>6451.2</v>
      </c>
      <c r="G116" s="20" t="n">
        <f aca="false">IFERROR(B116/F116,"")</f>
        <v>277.092248665847</v>
      </c>
      <c r="H116" s="6" t="str">
        <f aca="false">IF(G116&lt;3,"aktive Schleife",IF(G116&lt;10,"Idle-Pause",IF(G116&lt;30,"zäh","WALL")))</f>
        <v>WALL</v>
      </c>
    </row>
    <row r="117" customFormat="false" ht="15" hidden="false" customHeight="false" outlineLevel="0" collapsed="false">
      <c r="A117" s="6" t="n">
        <v>113</v>
      </c>
      <c r="B117" s="19" t="n">
        <f aca="false">Stellschrauben!$C$11*Stellschrauben!$C$10^A117</f>
        <v>1984211.04119836</v>
      </c>
      <c r="C117" s="20" t="n">
        <f aca="false">Stellschrauben!$C$12*A117*Stellschrauben!$C$14^INT(A117/Stellschrauben!$C$13)</f>
        <v>1808</v>
      </c>
      <c r="D117" s="20" t="n">
        <f aca="false">C117-C116</f>
        <v>16</v>
      </c>
      <c r="E117" s="20" t="n">
        <f aca="false">IFERROR(B117/D117,"")</f>
        <v>124013.190074897</v>
      </c>
      <c r="F117" s="20" t="n">
        <f aca="false">Stellschrauben!$C$15*C117*Stellschrauben!$C$16</f>
        <v>6508.8</v>
      </c>
      <c r="G117" s="20" t="n">
        <f aca="false">IFERROR(B117/F117,"")</f>
        <v>304.850516408302</v>
      </c>
      <c r="H117" s="6" t="str">
        <f aca="false">IF(G117&lt;3,"aktive Schleife",IF(G117&lt;10,"Idle-Pause",IF(G117&lt;30,"zäh","WALL")))</f>
        <v>WALL</v>
      </c>
    </row>
    <row r="118" customFormat="false" ht="15" hidden="false" customHeight="false" outlineLevel="0" collapsed="false">
      <c r="A118" s="6" t="n">
        <v>114</v>
      </c>
      <c r="B118" s="19" t="n">
        <f aca="false">Stellschrauben!$C$11*Stellschrauben!$C$10^A118</f>
        <v>2202474.25573018</v>
      </c>
      <c r="C118" s="20" t="n">
        <f aca="false">Stellschrauben!$C$12*A118*Stellschrauben!$C$14^INT(A118/Stellschrauben!$C$13)</f>
        <v>1824</v>
      </c>
      <c r="D118" s="20" t="n">
        <f aca="false">C118-C117</f>
        <v>16</v>
      </c>
      <c r="E118" s="20" t="n">
        <f aca="false">IFERROR(B118/D118,"")</f>
        <v>137654.640983136</v>
      </c>
      <c r="F118" s="20" t="n">
        <f aca="false">Stellschrauben!$C$15*C118*Stellschrauben!$C$16</f>
        <v>6566.4</v>
      </c>
      <c r="G118" s="20" t="n">
        <f aca="false">IFERROR(B118/F118,"")</f>
        <v>335.41579186924</v>
      </c>
      <c r="H118" s="6" t="str">
        <f aca="false">IF(G118&lt;3,"aktive Schleife",IF(G118&lt;10,"Idle-Pause",IF(G118&lt;30,"zäh","WALL")))</f>
        <v>WALL</v>
      </c>
    </row>
    <row r="119" customFormat="false" ht="15" hidden="false" customHeight="false" outlineLevel="0" collapsed="false">
      <c r="A119" s="6" t="n">
        <v>115</v>
      </c>
      <c r="B119" s="19" t="n">
        <f aca="false">Stellschrauben!$C$11*Stellschrauben!$C$10^A119</f>
        <v>2444746.4238605</v>
      </c>
      <c r="C119" s="20" t="n">
        <f aca="false">Stellschrauben!$C$12*A119*Stellschrauben!$C$14^INT(A119/Stellschrauben!$C$13)</f>
        <v>1840</v>
      </c>
      <c r="D119" s="20" t="n">
        <f aca="false">C119-C118</f>
        <v>16</v>
      </c>
      <c r="E119" s="20" t="n">
        <f aca="false">IFERROR(B119/D119,"")</f>
        <v>152796.651491281</v>
      </c>
      <c r="F119" s="20" t="n">
        <f aca="false">Stellschrauben!$C$15*C119*Stellschrauben!$C$16</f>
        <v>6624</v>
      </c>
      <c r="G119" s="20" t="n">
        <f aca="false">IFERROR(B119/F119,"")</f>
        <v>369.074037418553</v>
      </c>
      <c r="H119" s="6" t="str">
        <f aca="false">IF(G119&lt;3,"aktive Schleife",IF(G119&lt;10,"Idle-Pause",IF(G119&lt;30,"zäh","WALL")))</f>
        <v>WALL</v>
      </c>
    </row>
    <row r="120" customFormat="false" ht="15" hidden="false" customHeight="false" outlineLevel="0" collapsed="false">
      <c r="A120" s="6" t="n">
        <v>116</v>
      </c>
      <c r="B120" s="19" t="n">
        <f aca="false">Stellschrauben!$C$11*Stellschrauben!$C$10^A120</f>
        <v>2713668.53048515</v>
      </c>
      <c r="C120" s="20" t="n">
        <f aca="false">Stellschrauben!$C$12*A120*Stellschrauben!$C$14^INT(A120/Stellschrauben!$C$13)</f>
        <v>1856</v>
      </c>
      <c r="D120" s="20" t="n">
        <f aca="false">C120-C119</f>
        <v>16</v>
      </c>
      <c r="E120" s="20" t="n">
        <f aca="false">IFERROR(B120/D120,"")</f>
        <v>169604.283155322</v>
      </c>
      <c r="F120" s="20" t="n">
        <f aca="false">Stellschrauben!$C$15*C120*Stellschrauben!$C$16</f>
        <v>6681.6</v>
      </c>
      <c r="G120" s="20" t="n">
        <f aca="false">IFERROR(B120/F120,"")</f>
        <v>406.140524797227</v>
      </c>
      <c r="H120" s="6" t="str">
        <f aca="false">IF(G120&lt;3,"aktive Schleife",IF(G120&lt;10,"Idle-Pause",IF(G120&lt;30,"zäh","WALL")))</f>
        <v>WALL</v>
      </c>
    </row>
    <row r="121" customFormat="false" ht="15" hidden="false" customHeight="false" outlineLevel="0" collapsed="false">
      <c r="A121" s="6" t="n">
        <v>117</v>
      </c>
      <c r="B121" s="19" t="n">
        <f aca="false">Stellschrauben!$C$11*Stellschrauben!$C$10^A121</f>
        <v>3012172.06883852</v>
      </c>
      <c r="C121" s="20" t="n">
        <f aca="false">Stellschrauben!$C$12*A121*Stellschrauben!$C$14^INT(A121/Stellschrauben!$C$13)</f>
        <v>1872</v>
      </c>
      <c r="D121" s="20" t="n">
        <f aca="false">C121-C120</f>
        <v>16</v>
      </c>
      <c r="E121" s="20" t="n">
        <f aca="false">IFERROR(B121/D121,"")</f>
        <v>188260.754302407</v>
      </c>
      <c r="F121" s="20" t="n">
        <f aca="false">Stellschrauben!$C$15*C121*Stellschrauben!$C$16</f>
        <v>6739.2</v>
      </c>
      <c r="G121" s="20" t="n">
        <f aca="false">IFERROR(B121/F121,"")</f>
        <v>446.962854469153</v>
      </c>
      <c r="H121" s="6" t="str">
        <f aca="false">IF(G121&lt;3,"aktive Schleife",IF(G121&lt;10,"Idle-Pause",IF(G121&lt;30,"zäh","WALL")))</f>
        <v>WALL</v>
      </c>
    </row>
    <row r="122" customFormat="false" ht="15" hidden="false" customHeight="false" outlineLevel="0" collapsed="false">
      <c r="A122" s="6" t="n">
        <v>118</v>
      </c>
      <c r="B122" s="19" t="n">
        <f aca="false">Stellschrauben!$C$11*Stellschrauben!$C$10^A122</f>
        <v>3343510.99641075</v>
      </c>
      <c r="C122" s="20" t="n">
        <f aca="false">Stellschrauben!$C$12*A122*Stellschrauben!$C$14^INT(A122/Stellschrauben!$C$13)</f>
        <v>1888</v>
      </c>
      <c r="D122" s="20" t="n">
        <f aca="false">C122-C121</f>
        <v>16</v>
      </c>
      <c r="E122" s="20" t="n">
        <f aca="false">IFERROR(B122/D122,"")</f>
        <v>208969.437275672</v>
      </c>
      <c r="F122" s="20" t="n">
        <f aca="false">Stellschrauben!$C$15*C122*Stellschrauben!$C$16</f>
        <v>6796.8</v>
      </c>
      <c r="G122" s="20" t="n">
        <f aca="false">IFERROR(B122/F122,"")</f>
        <v>491.924287372109</v>
      </c>
      <c r="H122" s="6" t="str">
        <f aca="false">IF(G122&lt;3,"aktive Schleife",IF(G122&lt;10,"Idle-Pause",IF(G122&lt;30,"zäh","WALL")))</f>
        <v>WALL</v>
      </c>
    </row>
    <row r="123" customFormat="false" ht="15" hidden="false" customHeight="false" outlineLevel="0" collapsed="false">
      <c r="A123" s="6" t="n">
        <v>119</v>
      </c>
      <c r="B123" s="19" t="n">
        <f aca="false">Stellschrauben!$C$11*Stellschrauben!$C$10^A123</f>
        <v>3711297.20601594</v>
      </c>
      <c r="C123" s="20" t="n">
        <f aca="false">Stellschrauben!$C$12*A123*Stellschrauben!$C$14^INT(A123/Stellschrauben!$C$13)</f>
        <v>1904</v>
      </c>
      <c r="D123" s="20" t="n">
        <f aca="false">C123-C122</f>
        <v>16</v>
      </c>
      <c r="E123" s="20" t="n">
        <f aca="false">IFERROR(B123/D123,"")</f>
        <v>231956.075375996</v>
      </c>
      <c r="F123" s="20" t="n">
        <f aca="false">Stellschrauben!$C$15*C123*Stellschrauben!$C$16</f>
        <v>6854.4</v>
      </c>
      <c r="G123" s="20" t="n">
        <f aca="false">IFERROR(B123/F123,"")</f>
        <v>541.447421512596</v>
      </c>
      <c r="H123" s="6" t="str">
        <f aca="false">IF(G123&lt;3,"aktive Schleife",IF(G123&lt;10,"Idle-Pause",IF(G123&lt;30,"zäh","WALL")))</f>
        <v>WALL</v>
      </c>
    </row>
    <row r="124" customFormat="false" ht="15" hidden="false" customHeight="false" outlineLevel="0" collapsed="false">
      <c r="A124" s="6" t="n">
        <v>120</v>
      </c>
      <c r="B124" s="19" t="n">
        <f aca="false">Stellschrauben!$C$11*Stellschrauben!$C$10^A124</f>
        <v>4119539.89867769</v>
      </c>
      <c r="C124" s="20" t="n">
        <f aca="false">Stellschrauben!$C$12*A124*Stellschrauben!$C$14^INT(A124/Stellschrauben!$C$13)</f>
        <v>1920</v>
      </c>
      <c r="D124" s="20" t="n">
        <f aca="false">C124-C123</f>
        <v>16</v>
      </c>
      <c r="E124" s="20" t="n">
        <f aca="false">IFERROR(B124/D124,"")</f>
        <v>257471.243667356</v>
      </c>
      <c r="F124" s="20" t="n">
        <f aca="false">Stellschrauben!$C$15*C124*Stellschrauben!$C$16</f>
        <v>6912</v>
      </c>
      <c r="G124" s="20" t="n">
        <f aca="false">IFERROR(B124/F124,"")</f>
        <v>595.99824922999</v>
      </c>
      <c r="H124" s="6" t="str">
        <f aca="false">IF(G124&lt;3,"aktive Schleife",IF(G124&lt;10,"Idle-Pause",IF(G124&lt;30,"zäh","WALL")))</f>
        <v>WALL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6" t="s">
        <v>84</v>
      </c>
      <c r="B4" s="12" t="n">
        <v>400</v>
      </c>
    </row>
    <row r="5" customFormat="false" ht="15" hidden="false" customHeight="false" outlineLevel="0" collapsed="false">
      <c r="A5" s="6" t="s">
        <v>85</v>
      </c>
      <c r="B5" s="14" t="n">
        <v>25</v>
      </c>
    </row>
    <row r="6" customFormat="false" ht="15" hidden="false" customHeight="false" outlineLevel="0" collapsed="false">
      <c r="A6" s="6" t="s">
        <v>86</v>
      </c>
      <c r="B6" s="13" t="n">
        <v>1.5</v>
      </c>
    </row>
    <row r="7" customFormat="false" ht="15" hidden="false" customHeight="false" outlineLevel="0" collapsed="false">
      <c r="A7" s="6" t="s">
        <v>87</v>
      </c>
      <c r="B7" s="14" t="n">
        <v>8</v>
      </c>
    </row>
    <row r="9" customFormat="false" ht="27.75" hidden="false" customHeight="true" outlineLevel="0" collapsed="false">
      <c r="A9" s="18" t="s">
        <v>88</v>
      </c>
      <c r="B9" s="18" t="s">
        <v>89</v>
      </c>
      <c r="C9" s="18" t="s">
        <v>90</v>
      </c>
      <c r="D9" s="18" t="s">
        <v>91</v>
      </c>
      <c r="E9" s="18" t="s">
        <v>92</v>
      </c>
      <c r="F9" s="18" t="s">
        <v>93</v>
      </c>
      <c r="G9" s="18" t="s">
        <v>94</v>
      </c>
      <c r="H9" s="18" t="s">
        <v>95</v>
      </c>
      <c r="I9" s="18" t="s">
        <v>96</v>
      </c>
    </row>
    <row r="10" customFormat="false" ht="15" hidden="false" customHeight="false" outlineLevel="0" collapsed="false">
      <c r="A10" s="6" t="n">
        <v>1</v>
      </c>
      <c r="B10" s="20" t="n">
        <f aca="false">0</f>
        <v>0</v>
      </c>
      <c r="C10" s="21" t="n">
        <f aca="false">1+Stellschrauben!$C$21*B10</f>
        <v>1</v>
      </c>
      <c r="D10" s="22" t="n">
        <f aca="false">$B$6^MIN(A10-1,$B$7)</f>
        <v>1</v>
      </c>
      <c r="E10" s="19" t="n">
        <f aca="false">$B$4*C10*D10*$B$5</f>
        <v>10000</v>
      </c>
      <c r="F10" s="20" t="n">
        <f aca="false">Stellschrauben!$C$19*SQRT(E10/Stellschrauben!$C$20)</f>
        <v>10</v>
      </c>
      <c r="G10" s="20" t="n">
        <f aca="false">B10+F10</f>
        <v>10</v>
      </c>
      <c r="H10" s="23" t="n">
        <f aca="false">MAX(2,6+1.6*LOG(E10/($B$4*$B$5),2)/MAX(C10^0.35,1))</f>
        <v>6</v>
      </c>
      <c r="I10" s="19" t="n">
        <f aca="false">H10</f>
        <v>6</v>
      </c>
    </row>
    <row r="11" customFormat="false" ht="15" hidden="false" customHeight="false" outlineLevel="0" collapsed="false">
      <c r="A11" s="6" t="n">
        <v>2</v>
      </c>
      <c r="B11" s="20" t="n">
        <f aca="false">G10</f>
        <v>10</v>
      </c>
      <c r="C11" s="21" t="n">
        <f aca="false">1+Stellschrauben!$C$21*B11</f>
        <v>1.2</v>
      </c>
      <c r="D11" s="22" t="n">
        <f aca="false">$B$6^MIN(A11-1,$B$7)</f>
        <v>1.5</v>
      </c>
      <c r="E11" s="19" t="n">
        <f aca="false">$B$4*C11*D11*$B$5</f>
        <v>18000</v>
      </c>
      <c r="F11" s="20" t="n">
        <f aca="false">Stellschrauben!$C$19*SQRT(E11/Stellschrauben!$C$20)</f>
        <v>13.4164078649987</v>
      </c>
      <c r="G11" s="20" t="n">
        <f aca="false">B11+F11</f>
        <v>23.4164078649987</v>
      </c>
      <c r="H11" s="23" t="n">
        <f aca="false">MAX(2,6+1.6*LOG(E11/($B$4*$B$5),2)/MAX(C11^0.35,1))</f>
        <v>7.27291913354442</v>
      </c>
      <c r="I11" s="19" t="n">
        <f aca="false">I10+H11</f>
        <v>13.2729191335444</v>
      </c>
    </row>
    <row r="12" customFormat="false" ht="15" hidden="false" customHeight="false" outlineLevel="0" collapsed="false">
      <c r="A12" s="6" t="n">
        <v>3</v>
      </c>
      <c r="B12" s="20" t="n">
        <f aca="false">G11</f>
        <v>23.4164078649987</v>
      </c>
      <c r="C12" s="21" t="n">
        <f aca="false">1+Stellschrauben!$C$21*B12</f>
        <v>1.46832815729998</v>
      </c>
      <c r="D12" s="22" t="n">
        <f aca="false">$B$6^MIN(A12-1,$B$7)</f>
        <v>2.25</v>
      </c>
      <c r="E12" s="19" t="n">
        <f aca="false">$B$4*C12*D12*$B$5</f>
        <v>33037.3835392494</v>
      </c>
      <c r="F12" s="20" t="n">
        <f aca="false">Stellschrauben!$C$19*SQRT(E12/Stellschrauben!$C$20)</f>
        <v>18.1761886926961</v>
      </c>
      <c r="G12" s="20" t="n">
        <f aca="false">B12+F12</f>
        <v>41.5925965576949</v>
      </c>
      <c r="H12" s="23" t="n">
        <f aca="false">MAX(2,6+1.6*LOG(E12/($B$4*$B$5),2)/MAX(C12^0.35,1))</f>
        <v>8.41153848733219</v>
      </c>
      <c r="I12" s="19" t="n">
        <f aca="false">I11+H12</f>
        <v>21.6844576208766</v>
      </c>
    </row>
    <row r="13" customFormat="false" ht="15" hidden="false" customHeight="false" outlineLevel="0" collapsed="false">
      <c r="A13" s="6" t="n">
        <v>4</v>
      </c>
      <c r="B13" s="20" t="n">
        <f aca="false">G12</f>
        <v>41.5925965576949</v>
      </c>
      <c r="C13" s="21" t="n">
        <f aca="false">1+Stellschrauben!$C$21*B13</f>
        <v>1.8318519311539</v>
      </c>
      <c r="D13" s="22" t="n">
        <f aca="false">$B$6^MIN(A13-1,$B$7)</f>
        <v>3.375</v>
      </c>
      <c r="E13" s="19" t="n">
        <f aca="false">$B$4*C13*D13*$B$5</f>
        <v>61825.002676444</v>
      </c>
      <c r="F13" s="20" t="n">
        <f aca="false">Stellschrauben!$C$19*SQRT(E13/Stellschrauben!$C$20)</f>
        <v>24.8646340565157</v>
      </c>
      <c r="G13" s="20" t="n">
        <f aca="false">B13+F13</f>
        <v>66.4572306142106</v>
      </c>
      <c r="H13" s="23" t="n">
        <f aca="false">MAX(2,6+1.6*LOG(E13/($B$4*$B$5),2)/MAX(C13^0.35,1))</f>
        <v>9.40224181902953</v>
      </c>
      <c r="I13" s="19" t="n">
        <f aca="false">I12+H13</f>
        <v>31.0866994399061</v>
      </c>
    </row>
    <row r="14" customFormat="false" ht="15" hidden="false" customHeight="false" outlineLevel="0" collapsed="false">
      <c r="A14" s="6" t="n">
        <v>5</v>
      </c>
      <c r="B14" s="20" t="n">
        <f aca="false">G13</f>
        <v>66.4572306142106</v>
      </c>
      <c r="C14" s="21" t="n">
        <f aca="false">1+Stellschrauben!$C$21*B14</f>
        <v>2.32914461228421</v>
      </c>
      <c r="D14" s="22" t="n">
        <f aca="false">$B$6^MIN(A14-1,$B$7)</f>
        <v>5.0625</v>
      </c>
      <c r="E14" s="19" t="n">
        <f aca="false">$B$4*C14*D14*$B$5</f>
        <v>117912.945996888</v>
      </c>
      <c r="F14" s="20" t="n">
        <f aca="false">Stellschrauben!$C$19*SQRT(E14/Stellschrauben!$C$20)</f>
        <v>34.3384545366981</v>
      </c>
      <c r="G14" s="20" t="n">
        <f aca="false">B14+F14</f>
        <v>100.795685150909</v>
      </c>
      <c r="H14" s="23" t="n">
        <f aca="false">MAX(2,6+1.6*LOG(E14/($B$4*$B$5),2)/MAX(C14^0.35,1))</f>
        <v>10.2365130540678</v>
      </c>
      <c r="I14" s="19" t="n">
        <f aca="false">I13+H14</f>
        <v>41.323212493974</v>
      </c>
    </row>
    <row r="15" customFormat="false" ht="15" hidden="false" customHeight="false" outlineLevel="0" collapsed="false">
      <c r="A15" s="6" t="n">
        <v>6</v>
      </c>
      <c r="B15" s="20" t="n">
        <f aca="false">G14</f>
        <v>100.795685150909</v>
      </c>
      <c r="C15" s="21" t="n">
        <f aca="false">1+Stellschrauben!$C$21*B15</f>
        <v>3.01591370301817</v>
      </c>
      <c r="D15" s="22" t="n">
        <f aca="false">$B$6^MIN(A15-1,$B$7)</f>
        <v>7.59375</v>
      </c>
      <c r="E15" s="19" t="n">
        <f aca="false">$B$4*C15*D15*$B$5</f>
        <v>229020.946822943</v>
      </c>
      <c r="F15" s="20" t="n">
        <f aca="false">Stellschrauben!$C$19*SQRT(E15/Stellschrauben!$C$20)</f>
        <v>47.8561330262844</v>
      </c>
      <c r="G15" s="20" t="n">
        <f aca="false">B15+F15</f>
        <v>148.651818177193</v>
      </c>
      <c r="H15" s="23" t="n">
        <f aca="false">MAX(2,6+1.6*LOG(E15/($B$4*$B$5),2)/MAX(C15^0.35,1))</f>
        <v>10.911483021983</v>
      </c>
      <c r="I15" s="19" t="n">
        <f aca="false">I14+H15</f>
        <v>52.234695515957</v>
      </c>
    </row>
    <row r="16" customFormat="false" ht="15" hidden="false" customHeight="false" outlineLevel="0" collapsed="false">
      <c r="A16" s="6" t="n">
        <v>7</v>
      </c>
      <c r="B16" s="20" t="n">
        <f aca="false">G15</f>
        <v>148.651818177193</v>
      </c>
      <c r="C16" s="21" t="n">
        <f aca="false">1+Stellschrauben!$C$21*B16</f>
        <v>3.97303636354386</v>
      </c>
      <c r="D16" s="22" t="n">
        <f aca="false">$B$6^MIN(A16-1,$B$7)</f>
        <v>11.390625</v>
      </c>
      <c r="E16" s="19" t="n">
        <f aca="false">$B$4*C16*D16*$B$5</f>
        <v>452553.673284918</v>
      </c>
      <c r="F16" s="20" t="n">
        <f aca="false">Stellschrauben!$C$19*SQRT(E16/Stellschrauben!$C$20)</f>
        <v>67.2721096209208</v>
      </c>
      <c r="G16" s="20" t="n">
        <f aca="false">B16+F16</f>
        <v>215.923927798114</v>
      </c>
      <c r="H16" s="23" t="n">
        <f aca="false">MAX(2,6+1.6*LOG(E16/($B$4*$B$5),2)/MAX(C16^0.35,1))</f>
        <v>11.4298911759219</v>
      </c>
      <c r="I16" s="19" t="n">
        <f aca="false">I15+H16</f>
        <v>63.6645866918789</v>
      </c>
    </row>
    <row r="17" customFormat="false" ht="15" hidden="false" customHeight="false" outlineLevel="0" collapsed="false">
      <c r="A17" s="6" t="n">
        <v>8</v>
      </c>
      <c r="B17" s="20" t="n">
        <f aca="false">G16</f>
        <v>215.923927798114</v>
      </c>
      <c r="C17" s="21" t="n">
        <f aca="false">1+Stellschrauben!$C$21*B17</f>
        <v>5.31847855596228</v>
      </c>
      <c r="D17" s="22" t="n">
        <f aca="false">$B$6^MIN(A17-1,$B$7)</f>
        <v>17.0859375</v>
      </c>
      <c r="E17" s="19" t="n">
        <f aca="false">$B$4*C17*D17*$B$5</f>
        <v>908711.922022617</v>
      </c>
      <c r="F17" s="20" t="n">
        <f aca="false">Stellschrauben!$C$19*SQRT(E17/Stellschrauben!$C$20)</f>
        <v>95.326382603276</v>
      </c>
      <c r="G17" s="20" t="n">
        <f aca="false">B17+F17</f>
        <v>311.25031040139</v>
      </c>
      <c r="H17" s="23" t="n">
        <f aca="false">MAX(2,6+1.6*LOG(E17/($B$4*$B$5),2)/MAX(C17^0.35,1))</f>
        <v>11.7995170854655</v>
      </c>
      <c r="I17" s="19" t="n">
        <f aca="false">I16+H17</f>
        <v>75.4641037773444</v>
      </c>
    </row>
    <row r="18" customFormat="false" ht="15" hidden="false" customHeight="false" outlineLevel="0" collapsed="false">
      <c r="A18" s="6" t="n">
        <v>9</v>
      </c>
      <c r="B18" s="20" t="n">
        <f aca="false">G17</f>
        <v>311.25031040139</v>
      </c>
      <c r="C18" s="21" t="n">
        <f aca="false">1+Stellschrauben!$C$21*B18</f>
        <v>7.2250062080278</v>
      </c>
      <c r="D18" s="22" t="n">
        <f aca="false">$B$6^MIN(A18-1,$B$7)</f>
        <v>25.62890625</v>
      </c>
      <c r="E18" s="19" t="n">
        <f aca="false">$B$4*C18*D18*$B$5</f>
        <v>1851690.06761212</v>
      </c>
      <c r="F18" s="20" t="n">
        <f aca="false">Stellschrauben!$C$19*SQRT(E18/Stellschrauben!$C$20)</f>
        <v>136.076819025583</v>
      </c>
      <c r="G18" s="20" t="n">
        <f aca="false">B18+F18</f>
        <v>447.327129426973</v>
      </c>
      <c r="H18" s="23" t="n">
        <f aca="false">MAX(2,6+1.6*LOG(E18/($B$4*$B$5),2)/MAX(C18^0.35,1))</f>
        <v>12.0322204993369</v>
      </c>
      <c r="I18" s="19" t="n">
        <f aca="false">I17+H18</f>
        <v>87.4963242766813</v>
      </c>
    </row>
    <row r="19" customFormat="false" ht="15" hidden="false" customHeight="false" outlineLevel="0" collapsed="false">
      <c r="A19" s="6" t="n">
        <v>10</v>
      </c>
      <c r="B19" s="20" t="n">
        <f aca="false">G18</f>
        <v>447.327129426973</v>
      </c>
      <c r="C19" s="21" t="n">
        <f aca="false">1+Stellschrauben!$C$21*B19</f>
        <v>9.94654258853945</v>
      </c>
      <c r="D19" s="22" t="n">
        <f aca="false">$B$6^MIN(A19-1,$B$7)</f>
        <v>25.62890625</v>
      </c>
      <c r="E19" s="19" t="n">
        <f aca="false">$B$4*C19*D19*$B$5</f>
        <v>2549190.0751331</v>
      </c>
      <c r="F19" s="20" t="n">
        <f aca="false">Stellschrauben!$C$19*SQRT(E19/Stellschrauben!$C$20)</f>
        <v>159.661832481439</v>
      </c>
      <c r="G19" s="20" t="n">
        <f aca="false">B19+F19</f>
        <v>606.988961908411</v>
      </c>
      <c r="H19" s="23" t="n">
        <f aca="false">MAX(2,6+1.6*LOG(E19/($B$4*$B$5),2)/MAX(C19^0.35,1))</f>
        <v>11.7239150334204</v>
      </c>
      <c r="I19" s="19" t="n">
        <f aca="false">I18+H19</f>
        <v>99.2202393101017</v>
      </c>
    </row>
    <row r="20" customFormat="false" ht="15" hidden="false" customHeight="false" outlineLevel="0" collapsed="false">
      <c r="A20" s="6" t="n">
        <v>11</v>
      </c>
      <c r="B20" s="20" t="n">
        <f aca="false">G19</f>
        <v>606.988961908411</v>
      </c>
      <c r="C20" s="21" t="n">
        <f aca="false">1+Stellschrauben!$C$21*B20</f>
        <v>13.1397792381682</v>
      </c>
      <c r="D20" s="22" t="n">
        <f aca="false">$B$6^MIN(A20-1,$B$7)</f>
        <v>25.62890625</v>
      </c>
      <c r="E20" s="19" t="n">
        <f aca="false">$B$4*C20*D20*$B$5</f>
        <v>3367581.7024071</v>
      </c>
      <c r="F20" s="20" t="n">
        <f aca="false">Stellschrauben!$C$19*SQRT(E20/Stellschrauben!$C$20)</f>
        <v>183.509719154248</v>
      </c>
      <c r="G20" s="20" t="n">
        <f aca="false">B20+F20</f>
        <v>790.498681062659</v>
      </c>
      <c r="H20" s="23" t="n">
        <f aca="false">MAX(2,6+1.6*LOG(E20/($B$4*$B$5),2)/MAX(C20^0.35,1))</f>
        <v>11.4533616665344</v>
      </c>
      <c r="I20" s="19" t="n">
        <f aca="false">I19+H20</f>
        <v>110.673600976636</v>
      </c>
    </row>
    <row r="21" customFormat="false" ht="15" hidden="false" customHeight="false" outlineLevel="0" collapsed="false">
      <c r="A21" s="6" t="n">
        <v>12</v>
      </c>
      <c r="B21" s="20" t="n">
        <f aca="false">G20</f>
        <v>790.498681062659</v>
      </c>
      <c r="C21" s="21" t="n">
        <f aca="false">1+Stellschrauben!$C$21*B21</f>
        <v>16.8099736212532</v>
      </c>
      <c r="D21" s="22" t="n">
        <f aca="false">$B$6^MIN(A21-1,$B$7)</f>
        <v>25.62890625</v>
      </c>
      <c r="E21" s="19" t="n">
        <f aca="false">$B$4*C21*D21*$B$5</f>
        <v>4308212.38004071</v>
      </c>
      <c r="F21" s="20" t="n">
        <f aca="false">Stellschrauben!$C$19*SQRT(E21/Stellschrauben!$C$20)</f>
        <v>207.562337143344</v>
      </c>
      <c r="G21" s="20" t="n">
        <f aca="false">B21+F21</f>
        <v>998.061018206003</v>
      </c>
      <c r="H21" s="23" t="n">
        <f aca="false">MAX(2,6+1.6*LOG(E21/($B$4*$B$5),2)/MAX(C21^0.35,1))</f>
        <v>11.2146660791552</v>
      </c>
      <c r="I21" s="19" t="n">
        <f aca="false">I20+H21</f>
        <v>121.888267055791</v>
      </c>
    </row>
    <row r="22" customFormat="false" ht="15" hidden="false" customHeight="false" outlineLevel="0" collapsed="false">
      <c r="A22" s="6" t="n">
        <v>13</v>
      </c>
      <c r="B22" s="20" t="n">
        <f aca="false">G21</f>
        <v>998.061018206003</v>
      </c>
      <c r="C22" s="21" t="n">
        <f aca="false">1+Stellschrauben!$C$21*B22</f>
        <v>20.9612203641201</v>
      </c>
      <c r="D22" s="22" t="n">
        <f aca="false">$B$6^MIN(A22-1,$B$7)</f>
        <v>25.62890625</v>
      </c>
      <c r="E22" s="19" t="n">
        <f aca="false">$B$4*C22*D22*$B$5</f>
        <v>5372131.51597624</v>
      </c>
      <c r="F22" s="20" t="n">
        <f aca="false">Stellschrauben!$C$19*SQRT(E22/Stellschrauben!$C$20)</f>
        <v>231.778590814084</v>
      </c>
      <c r="G22" s="20" t="n">
        <f aca="false">B22+F22</f>
        <v>1229.83960902009</v>
      </c>
      <c r="H22" s="23" t="n">
        <f aca="false">MAX(2,6+1.6*LOG(E22/($B$4*$B$5),2)/MAX(C22^0.35,1))</f>
        <v>11.0026530778364</v>
      </c>
      <c r="I22" s="19" t="n">
        <f aca="false">I21+H22</f>
        <v>132.890920133628</v>
      </c>
    </row>
    <row r="23" customFormat="false" ht="15" hidden="false" customHeight="false" outlineLevel="0" collapsed="false">
      <c r="A23" s="6" t="n">
        <v>14</v>
      </c>
      <c r="B23" s="20" t="n">
        <f aca="false">G22</f>
        <v>1229.83960902009</v>
      </c>
      <c r="C23" s="21" t="n">
        <f aca="false">1+Stellschrauben!$C$21*B23</f>
        <v>25.5967921804017</v>
      </c>
      <c r="D23" s="22" t="n">
        <f aca="false">$B$6^MIN(A23-1,$B$7)</f>
        <v>25.62890625</v>
      </c>
      <c r="E23" s="19" t="n">
        <f aca="false">$B$4*C23*D23*$B$5</f>
        <v>6560177.87092249</v>
      </c>
      <c r="F23" s="20" t="n">
        <f aca="false">Stellschrauben!$C$19*SQRT(E23/Stellschrauben!$C$20)</f>
        <v>256.128441820164</v>
      </c>
      <c r="G23" s="20" t="n">
        <f aca="false">B23+F23</f>
        <v>1485.96805084025</v>
      </c>
      <c r="H23" s="23" t="n">
        <f aca="false">MAX(2,6+1.6*LOG(E23/($B$4*$B$5),2)/MAX(C23^0.35,1))</f>
        <v>10.8130359733033</v>
      </c>
      <c r="I23" s="19" t="n">
        <f aca="false">I22+H23</f>
        <v>143.703956106931</v>
      </c>
    </row>
    <row r="24" customFormat="false" ht="15" hidden="false" customHeight="false" outlineLevel="0" collapsed="false">
      <c r="A24" s="6" t="n">
        <v>15</v>
      </c>
      <c r="B24" s="20" t="n">
        <f aca="false">G23</f>
        <v>1485.96805084025</v>
      </c>
      <c r="C24" s="21" t="n">
        <f aca="false">1+Stellschrauben!$C$21*B24</f>
        <v>30.719361016805</v>
      </c>
      <c r="D24" s="22" t="n">
        <f aca="false">$B$6^MIN(A24-1,$B$7)</f>
        <v>25.62890625</v>
      </c>
      <c r="E24" s="19" t="n">
        <f aca="false">$B$4*C24*D24*$B$5</f>
        <v>7873036.235596</v>
      </c>
      <c r="F24" s="20" t="n">
        <f aca="false">Stellschrauben!$C$19*SQRT(E24/Stellschrauben!$C$20)</f>
        <v>280.589312618924</v>
      </c>
      <c r="G24" s="20" t="n">
        <f aca="false">B24+F24</f>
        <v>1766.55736345917</v>
      </c>
      <c r="H24" s="23" t="n">
        <f aca="false">MAX(2,6+1.6*LOG(E24/($B$4*$B$5),2)/MAX(C24^0.35,1))</f>
        <v>10.6423281655963</v>
      </c>
      <c r="I24" s="19" t="n">
        <f aca="false">I23+H24</f>
        <v>154.346284272527</v>
      </c>
    </row>
    <row r="25" customFormat="false" ht="15" hidden="false" customHeight="false" outlineLevel="0" collapsed="false">
      <c r="A25" s="6" t="n">
        <v>16</v>
      </c>
      <c r="B25" s="20" t="n">
        <f aca="false">G24</f>
        <v>1766.55736345917</v>
      </c>
      <c r="C25" s="21" t="n">
        <f aca="false">1+Stellschrauben!$C$21*B25</f>
        <v>36.3311472691835</v>
      </c>
      <c r="D25" s="22" t="n">
        <f aca="false">$B$6^MIN(A25-1,$B$7)</f>
        <v>25.62890625</v>
      </c>
      <c r="E25" s="19" t="n">
        <f aca="false">$B$4*C25*D25*$B$5</f>
        <v>9311275.67316847</v>
      </c>
      <c r="F25" s="20" t="n">
        <f aca="false">Stellschrauben!$C$19*SQRT(E25/Stellschrauben!$C$20)</f>
        <v>305.143829581535</v>
      </c>
      <c r="G25" s="20" t="n">
        <f aca="false">B25+F25</f>
        <v>2071.70119304071</v>
      </c>
      <c r="H25" s="23" t="n">
        <f aca="false">MAX(2,6+1.6*LOG(E25/($B$4*$B$5),2)/MAX(C25^0.35,1))</f>
        <v>10.4877025338958</v>
      </c>
      <c r="I25" s="19" t="n">
        <f aca="false">I24+H25</f>
        <v>164.833986806423</v>
      </c>
    </row>
    <row r="26" customFormat="false" ht="15" hidden="false" customHeight="false" outlineLevel="0" collapsed="false">
      <c r="A26" s="6" t="n">
        <v>17</v>
      </c>
      <c r="B26" s="20" t="n">
        <f aca="false">G25</f>
        <v>2071.70119304071</v>
      </c>
      <c r="C26" s="21" t="n">
        <f aca="false">1+Stellschrauben!$C$21*B26</f>
        <v>42.4340238608142</v>
      </c>
      <c r="D26" s="22" t="n">
        <f aca="false">$B$6^MIN(A26-1,$B$7)</f>
        <v>25.62890625</v>
      </c>
      <c r="E26" s="19" t="n">
        <f aca="false">$B$4*C26*D26*$B$5</f>
        <v>10875376.1933907</v>
      </c>
      <c r="F26" s="20" t="n">
        <f aca="false">Stellschrauben!$C$19*SQRT(E26/Stellschrauben!$C$20)</f>
        <v>329.778352736966</v>
      </c>
      <c r="G26" s="20" t="n">
        <f aca="false">B26+F26</f>
        <v>2401.47954577767</v>
      </c>
      <c r="H26" s="23" t="n">
        <f aca="false">MAX(2,6+1.6*LOG(E26/($B$4*$B$5),2)/MAX(C26^0.35,1))</f>
        <v>10.3468589879879</v>
      </c>
      <c r="I26" s="19" t="n">
        <f aca="false">I25+H26</f>
        <v>175.180845794411</v>
      </c>
    </row>
    <row r="27" customFormat="false" ht="15" hidden="false" customHeight="false" outlineLevel="0" collapsed="false">
      <c r="A27" s="6" t="n">
        <v>18</v>
      </c>
      <c r="B27" s="20" t="n">
        <f aca="false">G26</f>
        <v>2401.47954577767</v>
      </c>
      <c r="C27" s="21" t="n">
        <f aca="false">1+Stellschrauben!$C$21*B27</f>
        <v>49.0295909155535</v>
      </c>
      <c r="D27" s="22" t="n">
        <f aca="false">$B$6^MIN(A27-1,$B$7)</f>
        <v>25.62890625</v>
      </c>
      <c r="E27" s="19" t="n">
        <f aca="false">$B$4*C27*D27*$B$5</f>
        <v>12565747.8905057</v>
      </c>
      <c r="F27" s="20" t="n">
        <f aca="false">Stellschrauben!$C$19*SQRT(E27/Stellschrauben!$C$20)</f>
        <v>354.481986714498</v>
      </c>
      <c r="G27" s="20" t="n">
        <f aca="false">B27+F27</f>
        <v>2755.96153249217</v>
      </c>
      <c r="H27" s="23" t="n">
        <f aca="false">MAX(2,6+1.6*LOG(E27/($B$4*$B$5),2)/MAX(C27^0.35,1))</f>
        <v>10.2179146322478</v>
      </c>
      <c r="I27" s="19" t="n">
        <f aca="false">I26+H27</f>
        <v>185.398760426659</v>
      </c>
    </row>
    <row r="28" customFormat="false" ht="15" hidden="false" customHeight="false" outlineLevel="0" collapsed="false">
      <c r="A28" s="6" t="n">
        <v>19</v>
      </c>
      <c r="B28" s="20" t="n">
        <f aca="false">G27</f>
        <v>2755.96153249217</v>
      </c>
      <c r="C28" s="21" t="n">
        <f aca="false">1+Stellschrauben!$C$21*B28</f>
        <v>56.1192306498434</v>
      </c>
      <c r="D28" s="22" t="n">
        <f aca="false">$B$6^MIN(A28-1,$B$7)</f>
        <v>25.62890625</v>
      </c>
      <c r="E28" s="19" t="n">
        <f aca="false">$B$4*C28*D28*$B$5</f>
        <v>14382745.0114696</v>
      </c>
      <c r="F28" s="20" t="n">
        <f aca="false">Stellschrauben!$C$19*SQRT(E28/Stellschrauben!$C$20)</f>
        <v>379.245896635279</v>
      </c>
      <c r="G28" s="20" t="n">
        <f aca="false">B28+F28</f>
        <v>3135.20742912745</v>
      </c>
      <c r="H28" s="23" t="n">
        <f aca="false">MAX(2,6+1.6*LOG(E28/($B$4*$B$5),2)/MAX(C28^0.35,1))</f>
        <v>10.0993167664764</v>
      </c>
      <c r="I28" s="19" t="n">
        <f aca="false">I27+H28</f>
        <v>195.498077193135</v>
      </c>
    </row>
    <row r="29" customFormat="false" ht="15" hidden="false" customHeight="false" outlineLevel="0" collapsed="false">
      <c r="A29" s="6" t="n">
        <v>20</v>
      </c>
      <c r="B29" s="20" t="n">
        <f aca="false">G28</f>
        <v>3135.20742912745</v>
      </c>
      <c r="C29" s="21" t="n">
        <f aca="false">1+Stellschrauben!$C$21*B29</f>
        <v>63.704148582549</v>
      </c>
      <c r="D29" s="22" t="n">
        <f aca="false">$B$6^MIN(A29-1,$B$7)</f>
        <v>25.62890625</v>
      </c>
      <c r="E29" s="19" t="n">
        <f aca="false">$B$4*C29*D29*$B$5</f>
        <v>16326676.5175822</v>
      </c>
      <c r="F29" s="20" t="n">
        <f aca="false">Stellschrauben!$C$19*SQRT(E29/Stellschrauben!$C$20)</f>
        <v>404.062823303285</v>
      </c>
      <c r="G29" s="20" t="n">
        <f aca="false">B29+F29</f>
        <v>3539.27025243074</v>
      </c>
      <c r="H29" s="23" t="n">
        <f aca="false">MAX(2,6+1.6*LOG(E29/($B$4*$B$5),2)/MAX(C29^0.35,1))</f>
        <v>9.98977513492811</v>
      </c>
      <c r="I29" s="19" t="n">
        <f aca="false">I28+H29</f>
        <v>205.487852328063</v>
      </c>
    </row>
    <row r="31" customFormat="false" ht="15" hidden="false" customHeight="false" outlineLevel="0" collapsed="false">
      <c r="A31" s="3" t="s">
        <v>97</v>
      </c>
      <c r="B31" s="5" t="s">
        <v>98</v>
      </c>
      <c r="D31" s="24" t="str">
        <f aca="false">IF(AND(MIN(H10:H29)&gt;=5,MAX(H10:H29)&lt;=14),"OK","AUSSERHALB")</f>
        <v>OK</v>
      </c>
    </row>
    <row r="32" customFormat="false" ht="15" hidden="false" customHeight="false" outlineLevel="0" collapsed="false">
      <c r="B32" s="5" t="s">
        <v>99</v>
      </c>
      <c r="D32" s="23" t="n">
        <f aca="false">E14/E12</f>
        <v>3.56907640270011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8" min="7" style="0" width="13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18" t="s">
        <v>102</v>
      </c>
      <c r="B4" s="18" t="s">
        <v>103</v>
      </c>
      <c r="C4" s="18" t="s">
        <v>104</v>
      </c>
      <c r="D4" s="18" t="s">
        <v>105</v>
      </c>
      <c r="E4" s="18" t="s">
        <v>106</v>
      </c>
      <c r="F4" s="18" t="s">
        <v>107</v>
      </c>
      <c r="G4" s="18" t="s">
        <v>108</v>
      </c>
      <c r="H4" s="18" t="s">
        <v>109</v>
      </c>
      <c r="I4" s="18" t="s">
        <v>110</v>
      </c>
    </row>
    <row r="5" customFormat="false" ht="15" hidden="false" customHeight="false" outlineLevel="0" collapsed="false">
      <c r="A5" s="6" t="n">
        <v>0</v>
      </c>
      <c r="B5" s="21" t="n">
        <f aca="false">Stellschrauben!$C$25^A5</f>
        <v>1</v>
      </c>
      <c r="C5" s="21" t="n">
        <f aca="false">Stellschrauben!$C$27^A5</f>
        <v>1</v>
      </c>
      <c r="D5" s="21" t="n">
        <f aca="false">Stellschrauben!$C$28^A5</f>
        <v>1</v>
      </c>
      <c r="E5" s="21" t="n">
        <f aca="false">1+Stellschrauben!$C$29*MIN(A5,10)</f>
        <v>1</v>
      </c>
      <c r="F5" s="21" t="n">
        <f aca="false">C5*D5*E5</f>
        <v>1</v>
      </c>
      <c r="G5" s="21" t="n">
        <f aca="false">F5/B5</f>
        <v>1</v>
      </c>
      <c r="H5" s="21" t="n">
        <f aca="false">Stellschrauben!$C$26^A5</f>
        <v>1</v>
      </c>
      <c r="I5" s="6" t="str">
        <f aca="false">IF(H5&gt;=B5,"ja","NEIN — Kurve prüfen")</f>
        <v>ja</v>
      </c>
    </row>
    <row r="6" customFormat="false" ht="15" hidden="false" customHeight="false" outlineLevel="0" collapsed="false">
      <c r="A6" s="6" t="n">
        <v>1</v>
      </c>
      <c r="B6" s="21" t="n">
        <f aca="false">Stellschrauben!$C$25^A6</f>
        <v>1.35</v>
      </c>
      <c r="C6" s="21" t="n">
        <f aca="false">Stellschrauben!$C$27^A6</f>
        <v>1.28</v>
      </c>
      <c r="D6" s="21" t="n">
        <f aca="false">Stellschrauben!$C$28^A6</f>
        <v>1.06</v>
      </c>
      <c r="E6" s="21" t="n">
        <f aca="false">1+Stellschrauben!$C$29*MIN(A6,10)</f>
        <v>1.12</v>
      </c>
      <c r="F6" s="21" t="n">
        <f aca="false">C6*D6*E6</f>
        <v>1.519616</v>
      </c>
      <c r="G6" s="21" t="n">
        <f aca="false">F6/B6</f>
        <v>1.12564148148148</v>
      </c>
      <c r="H6" s="21" t="n">
        <f aca="false">Stellschrauben!$C$26^A6</f>
        <v>1.38</v>
      </c>
      <c r="I6" s="6" t="str">
        <f aca="false">IF(H6&gt;=B6,"ja","NEIN — Kurve prüfen")</f>
        <v>ja</v>
      </c>
    </row>
    <row r="7" customFormat="false" ht="15" hidden="false" customHeight="false" outlineLevel="0" collapsed="false">
      <c r="A7" s="6" t="n">
        <v>2</v>
      </c>
      <c r="B7" s="21" t="n">
        <f aca="false">Stellschrauben!$C$25^A7</f>
        <v>1.8225</v>
      </c>
      <c r="C7" s="21" t="n">
        <f aca="false">Stellschrauben!$C$27^A7</f>
        <v>1.6384</v>
      </c>
      <c r="D7" s="21" t="n">
        <f aca="false">Stellschrauben!$C$28^A7</f>
        <v>1.1236</v>
      </c>
      <c r="E7" s="21" t="n">
        <f aca="false">1+Stellschrauben!$C$29*MIN(A7,10)</f>
        <v>1.24</v>
      </c>
      <c r="F7" s="21" t="n">
        <f aca="false">C7*D7*E7</f>
        <v>2.2827237376</v>
      </c>
      <c r="G7" s="21" t="n">
        <f aca="false">F7/B7</f>
        <v>1.25252331281207</v>
      </c>
      <c r="H7" s="21" t="n">
        <f aca="false">Stellschrauben!$C$26^A7</f>
        <v>1.9044</v>
      </c>
      <c r="I7" s="6" t="str">
        <f aca="false">IF(H7&gt;=B7,"ja","NEIN — Kurve prüfen")</f>
        <v>ja</v>
      </c>
    </row>
    <row r="8" customFormat="false" ht="15" hidden="false" customHeight="false" outlineLevel="0" collapsed="false">
      <c r="A8" s="6" t="n">
        <v>3</v>
      </c>
      <c r="B8" s="21" t="n">
        <f aca="false">Stellschrauben!$C$25^A8</f>
        <v>2.460375</v>
      </c>
      <c r="C8" s="21" t="n">
        <f aca="false">Stellschrauben!$C$27^A8</f>
        <v>2.097152</v>
      </c>
      <c r="D8" s="21" t="n">
        <f aca="false">Stellschrauben!$C$28^A8</f>
        <v>1.191016</v>
      </c>
      <c r="E8" s="21" t="n">
        <f aca="false">1+Stellschrauben!$C$29*MIN(A8,10)</f>
        <v>1.36</v>
      </c>
      <c r="F8" s="21" t="n">
        <f aca="false">C8*D8*E8</f>
        <v>3.39692855754752</v>
      </c>
      <c r="G8" s="21" t="n">
        <f aca="false">F8/B8</f>
        <v>1.38065480162476</v>
      </c>
      <c r="H8" s="21" t="n">
        <f aca="false">Stellschrauben!$C$26^A8</f>
        <v>2.628072</v>
      </c>
      <c r="I8" s="6" t="str">
        <f aca="false">IF(H8&gt;=B8,"ja","NEIN — Kurve prüfen")</f>
        <v>ja</v>
      </c>
    </row>
    <row r="9" customFormat="false" ht="15" hidden="false" customHeight="false" outlineLevel="0" collapsed="false">
      <c r="A9" s="6" t="n">
        <v>4</v>
      </c>
      <c r="B9" s="21" t="n">
        <f aca="false">Stellschrauben!$C$25^A9</f>
        <v>3.32150625</v>
      </c>
      <c r="C9" s="21" t="n">
        <f aca="false">Stellschrauben!$C$27^A9</f>
        <v>2.68435456</v>
      </c>
      <c r="D9" s="21" t="n">
        <f aca="false">Stellschrauben!$C$28^A9</f>
        <v>1.26247696</v>
      </c>
      <c r="E9" s="21" t="n">
        <f aca="false">1+Stellschrauben!$C$29*MIN(A9,10)</f>
        <v>1.48</v>
      </c>
      <c r="F9" s="21" t="n">
        <f aca="false">C9*D9*E9</f>
        <v>5.01562496101699</v>
      </c>
      <c r="G9" s="21" t="n">
        <f aca="false">F9/B9</f>
        <v>1.51004531784849</v>
      </c>
      <c r="H9" s="21" t="n">
        <f aca="false">Stellschrauben!$C$26^A9</f>
        <v>3.62673936</v>
      </c>
      <c r="I9" s="6" t="str">
        <f aca="false">IF(H9&gt;=B9,"ja","NEIN — Kurve prüfen")</f>
        <v>ja</v>
      </c>
    </row>
    <row r="10" customFormat="false" ht="15" hidden="false" customHeight="false" outlineLevel="0" collapsed="false">
      <c r="A10" s="6" t="n">
        <v>5</v>
      </c>
      <c r="B10" s="21" t="n">
        <f aca="false">Stellschrauben!$C$25^A10</f>
        <v>4.4840334375</v>
      </c>
      <c r="C10" s="21" t="n">
        <f aca="false">Stellschrauben!$C$27^A10</f>
        <v>3.4359738368</v>
      </c>
      <c r="D10" s="21" t="n">
        <f aca="false">Stellschrauben!$C$28^A10</f>
        <v>1.3382255776</v>
      </c>
      <c r="E10" s="21" t="n">
        <f aca="false">1+Stellschrauben!$C$29*MIN(A10,10)</f>
        <v>1.6</v>
      </c>
      <c r="F10" s="21" t="n">
        <f aca="false">C10*D10*E10</f>
        <v>7.35697291579227</v>
      </c>
      <c r="G10" s="21" t="n">
        <f aca="false">F10/B10</f>
        <v>1.64070429409956</v>
      </c>
      <c r="H10" s="21" t="n">
        <f aca="false">Stellschrauben!$C$26^A10</f>
        <v>5.0049003168</v>
      </c>
      <c r="I10" s="6" t="str">
        <f aca="false">IF(H10&gt;=B10,"ja","NEIN — Kurve prüfen")</f>
        <v>ja</v>
      </c>
    </row>
    <row r="11" customFormat="false" ht="15" hidden="false" customHeight="false" outlineLevel="0" collapsed="false">
      <c r="A11" s="6" t="n">
        <v>6</v>
      </c>
      <c r="B11" s="21" t="n">
        <f aca="false">Stellschrauben!$C$25^A11</f>
        <v>6.053445140625</v>
      </c>
      <c r="C11" s="21" t="n">
        <f aca="false">Stellschrauben!$C$27^A11</f>
        <v>4.398046511104</v>
      </c>
      <c r="D11" s="21" t="n">
        <f aca="false">Stellschrauben!$C$28^A11</f>
        <v>1.418519112256</v>
      </c>
      <c r="E11" s="21" t="n">
        <f aca="false">1+Stellschrauben!$C$29*MIN(A11,10)</f>
        <v>1.72</v>
      </c>
      <c r="F11" s="21" t="n">
        <f aca="false">C11*D11*E11</f>
        <v>10.730586416058</v>
      </c>
      <c r="G11" s="21" t="n">
        <f aca="false">F11/B11</f>
        <v>1.77264122607545</v>
      </c>
      <c r="H11" s="21" t="n">
        <f aca="false">Stellschrauben!$C$26^A11</f>
        <v>6.906762437184</v>
      </c>
      <c r="I11" s="6" t="str">
        <f aca="false">IF(H11&gt;=B11,"ja","NEIN — Kurve prüfen")</f>
        <v>ja</v>
      </c>
    </row>
    <row r="12" customFormat="false" ht="15" hidden="false" customHeight="false" outlineLevel="0" collapsed="false">
      <c r="A12" s="6" t="n">
        <v>7</v>
      </c>
      <c r="B12" s="21" t="n">
        <f aca="false">Stellschrauben!$C$25^A12</f>
        <v>8.17215093984375</v>
      </c>
      <c r="C12" s="21" t="n">
        <f aca="false">Stellschrauben!$C$27^A12</f>
        <v>5.62949953421312</v>
      </c>
      <c r="D12" s="21" t="n">
        <f aca="false">Stellschrauben!$C$28^A12</f>
        <v>1.50363025899136</v>
      </c>
      <c r="E12" s="21" t="n">
        <f aca="false">1+Stellschrauben!$C$29*MIN(A12,10)</f>
        <v>1.84</v>
      </c>
      <c r="F12" s="21" t="n">
        <f aca="false">C12*D12*E12</f>
        <v>15.5750219504219</v>
      </c>
      <c r="G12" s="21" t="n">
        <f aca="false">F12/B12</f>
        <v>1.90586567295094</v>
      </c>
      <c r="H12" s="21" t="n">
        <f aca="false">Stellschrauben!$C$26^A12</f>
        <v>9.53133216331391</v>
      </c>
      <c r="I12" s="6" t="str">
        <f aca="false">IF(H12&gt;=B12,"ja","NEIN — Kurve prüfen")</f>
        <v>ja</v>
      </c>
    </row>
    <row r="13" customFormat="false" ht="15" hidden="false" customHeight="false" outlineLevel="0" collapsed="false">
      <c r="A13" s="6" t="n">
        <v>8</v>
      </c>
      <c r="B13" s="21" t="n">
        <f aca="false">Stellschrauben!$C$25^A13</f>
        <v>11.0324037687891</v>
      </c>
      <c r="C13" s="21" t="n">
        <f aca="false">Stellschrauben!$C$27^A13</f>
        <v>7.2057594037928</v>
      </c>
      <c r="D13" s="21" t="n">
        <f aca="false">Stellschrauben!$C$28^A13</f>
        <v>1.59384807453084</v>
      </c>
      <c r="E13" s="21" t="n">
        <f aca="false">1+Stellschrauben!$C$29*MIN(A13,10)</f>
        <v>1.96</v>
      </c>
      <c r="F13" s="21" t="n">
        <f aca="false">C13*D13*E13</f>
        <v>22.5103760724846</v>
      </c>
      <c r="G13" s="21" t="n">
        <f aca="false">F13/B13</f>
        <v>2.04038725777668</v>
      </c>
      <c r="H13" s="21" t="n">
        <f aca="false">Stellschrauben!$C$26^A13</f>
        <v>13.1532383853732</v>
      </c>
      <c r="I13" s="6" t="str">
        <f aca="false">IF(H13&gt;=B13,"ja","NEIN — Kurve prüfen")</f>
        <v>ja</v>
      </c>
    </row>
    <row r="14" customFormat="false" ht="15" hidden="false" customHeight="false" outlineLevel="0" collapsed="false">
      <c r="A14" s="6" t="n">
        <v>9</v>
      </c>
      <c r="B14" s="21" t="n">
        <f aca="false">Stellschrauben!$C$25^A14</f>
        <v>14.8937450878652</v>
      </c>
      <c r="C14" s="21" t="n">
        <f aca="false">Stellschrauben!$C$27^A14</f>
        <v>9.22337203685478</v>
      </c>
      <c r="D14" s="21" t="n">
        <f aca="false">Stellschrauben!$C$28^A14</f>
        <v>1.68947895900269</v>
      </c>
      <c r="E14" s="21" t="n">
        <f aca="false">1+Stellschrauben!$C$29*MIN(A14,10)</f>
        <v>2.08</v>
      </c>
      <c r="F14" s="21" t="n">
        <f aca="false">C14*D14*E14</f>
        <v>32.4120014136255</v>
      </c>
      <c r="G14" s="21" t="n">
        <f aca="false">F14/B14</f>
        <v>2.17621566788016</v>
      </c>
      <c r="H14" s="21" t="n">
        <f aca="false">Stellschrauben!$C$26^A14</f>
        <v>18.151468971815</v>
      </c>
      <c r="I14" s="6" t="str">
        <f aca="false">IF(H14&gt;=B14,"ja","NEIN — Kurve prüfen")</f>
        <v>ja</v>
      </c>
    </row>
    <row r="15" customFormat="false" ht="15" hidden="false" customHeight="false" outlineLevel="0" collapsed="false">
      <c r="A15" s="6" t="n">
        <v>10</v>
      </c>
      <c r="B15" s="21" t="n">
        <f aca="false">Stellschrauben!$C$25^A15</f>
        <v>20.1065558686181</v>
      </c>
      <c r="C15" s="21" t="n">
        <f aca="false">Stellschrauben!$C$27^A15</f>
        <v>11.8059162071741</v>
      </c>
      <c r="D15" s="21" t="n">
        <f aca="false">Stellschrauben!$C$28^A15</f>
        <v>1.79084769654285</v>
      </c>
      <c r="E15" s="21" t="n">
        <f aca="false">1+Stellschrauben!$C$29*MIN(A15,10)</f>
        <v>2.2</v>
      </c>
      <c r="F15" s="21" t="n">
        <f aca="false">C15*D15*E15</f>
        <v>46.5137152594306</v>
      </c>
      <c r="G15" s="21" t="n">
        <f aca="false">F15/B15</f>
        <v>2.31336065526908</v>
      </c>
      <c r="H15" s="21" t="n">
        <f aca="false">Stellschrauben!$C$26^A15</f>
        <v>25.0490271811047</v>
      </c>
      <c r="I15" s="6" t="str">
        <f aca="false">IF(H15&gt;=B15,"ja","NEIN — Kurve prüfen")</f>
        <v>ja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18" t="s">
        <v>113</v>
      </c>
      <c r="B4" s="18" t="s">
        <v>114</v>
      </c>
      <c r="C4" s="18" t="s">
        <v>115</v>
      </c>
      <c r="D4" s="18" t="s">
        <v>116</v>
      </c>
      <c r="E4" s="25" t="s">
        <v>117</v>
      </c>
      <c r="F4" s="25" t="s">
        <v>118</v>
      </c>
      <c r="G4" s="25" t="s">
        <v>119</v>
      </c>
      <c r="H4" s="25" t="s">
        <v>120</v>
      </c>
    </row>
    <row r="5" customFormat="false" ht="15" hidden="false" customHeight="false" outlineLevel="0" collapsed="false">
      <c r="A5" s="6" t="n">
        <v>1</v>
      </c>
      <c r="B5" s="19" t="n">
        <f aca="false">Stellschrauben!$C$32*A5^Stellschrauben!$C$33</f>
        <v>340</v>
      </c>
      <c r="C5" s="19" t="n">
        <f aca="false">B5</f>
        <v>340</v>
      </c>
      <c r="E5" s="6" t="s">
        <v>121</v>
      </c>
      <c r="F5" s="14" t="n">
        <v>3</v>
      </c>
      <c r="G5" s="14" t="n">
        <v>5</v>
      </c>
      <c r="H5" s="26" t="n">
        <f aca="false">G5/(Stellschrauben!$C$37+Stellschrauben!$C$38)/Stellschrauben!$C$39</f>
        <v>0.0833333333333333</v>
      </c>
    </row>
    <row r="6" customFormat="false" ht="15" hidden="false" customHeight="false" outlineLevel="0" collapsed="false">
      <c r="A6" s="6" t="n">
        <v>2</v>
      </c>
      <c r="B6" s="19" t="n">
        <f aca="false">Stellschrauben!$C$32*A6^Stellschrauben!$C$33</f>
        <v>591.564199841883</v>
      </c>
      <c r="C6" s="19" t="n">
        <f aca="false">C5+B6</f>
        <v>931.564199841883</v>
      </c>
      <c r="E6" s="6" t="s">
        <v>122</v>
      </c>
      <c r="F6" s="14" t="n">
        <v>8</v>
      </c>
      <c r="G6" s="14" t="n">
        <v>21</v>
      </c>
      <c r="H6" s="26" t="n">
        <f aca="false">G6/(Stellschrauben!$C$37+Stellschrauben!$C$38)/Stellschrauben!$C$39</f>
        <v>0.35</v>
      </c>
    </row>
    <row r="7" customFormat="false" ht="15" hidden="false" customHeight="false" outlineLevel="0" collapsed="false">
      <c r="A7" s="6" t="n">
        <v>3</v>
      </c>
      <c r="B7" s="19" t="n">
        <f aca="false">Stellschrauben!$C$32*A7^Stellschrauben!$C$33</f>
        <v>817.897347158001</v>
      </c>
      <c r="C7" s="19" t="n">
        <f aca="false">C6+B7</f>
        <v>1749.46154699988</v>
      </c>
      <c r="E7" s="6" t="s">
        <v>123</v>
      </c>
      <c r="F7" s="14" t="n">
        <v>15</v>
      </c>
      <c r="G7" s="14" t="n">
        <v>39</v>
      </c>
      <c r="H7" s="26" t="n">
        <f aca="false">G7/(Stellschrauben!$C$37+Stellschrauben!$C$38)/Stellschrauben!$C$39</f>
        <v>0.65</v>
      </c>
    </row>
    <row r="8" customFormat="false" ht="15" hidden="false" customHeight="false" outlineLevel="0" collapsed="false">
      <c r="A8" s="6" t="n">
        <v>4</v>
      </c>
      <c r="B8" s="19" t="n">
        <f aca="false">Stellschrauben!$C$32*A8^Stellschrauben!$C$33</f>
        <v>1029.25941921931</v>
      </c>
      <c r="C8" s="19" t="n">
        <f aca="false">C7+B8</f>
        <v>2778.7209662192</v>
      </c>
      <c r="E8" s="6" t="s">
        <v>124</v>
      </c>
      <c r="F8" s="14" t="n">
        <v>20</v>
      </c>
      <c r="G8" s="14" t="n">
        <v>50</v>
      </c>
      <c r="H8" s="26" t="n">
        <f aca="false">G8/(Stellschrauben!$C$37+Stellschrauben!$C$38)/Stellschrauben!$C$39</f>
        <v>0.833333333333333</v>
      </c>
    </row>
    <row r="9" customFormat="false" ht="15" hidden="false" customHeight="false" outlineLevel="0" collapsed="false">
      <c r="A9" s="6" t="n">
        <v>5</v>
      </c>
      <c r="B9" s="19" t="n">
        <f aca="false">Stellschrauben!$C$32*A9^Stellschrauben!$C$33</f>
        <v>1230.14399380055</v>
      </c>
      <c r="C9" s="19" t="n">
        <f aca="false">C8+B9</f>
        <v>4008.86496001975</v>
      </c>
    </row>
    <row r="10" customFormat="false" ht="15" hidden="false" customHeight="false" outlineLevel="0" collapsed="false">
      <c r="A10" s="6" t="n">
        <v>6</v>
      </c>
      <c r="B10" s="19" t="n">
        <f aca="false">Stellschrauben!$C$32*A10^Stellschrauben!$C$33</f>
        <v>1423.05526389506</v>
      </c>
      <c r="C10" s="19" t="n">
        <f aca="false">C9+B10</f>
        <v>5431.92022391481</v>
      </c>
    </row>
    <row r="11" customFormat="false" ht="15" hidden="false" customHeight="false" outlineLevel="0" collapsed="false">
      <c r="A11" s="6" t="n">
        <v>7</v>
      </c>
      <c r="B11" s="19" t="n">
        <f aca="false">Stellschrauben!$C$32*A11^Stellschrauben!$C$33</f>
        <v>1609.57882874849</v>
      </c>
      <c r="C11" s="19" t="n">
        <f aca="false">C10+B11</f>
        <v>7041.4990526633</v>
      </c>
      <c r="E11" s="3" t="s">
        <v>125</v>
      </c>
      <c r="H11" s="24" t="str">
        <f aca="false">IF(MAX(H5:H8)&lt;1,"OK — immer Luft nach oben","ZU VIEL")</f>
        <v>OK — immer Luft nach oben</v>
      </c>
    </row>
    <row r="12" customFormat="false" ht="15" hidden="false" customHeight="false" outlineLevel="0" collapsed="false">
      <c r="A12" s="6" t="n">
        <v>8</v>
      </c>
      <c r="B12" s="19" t="n">
        <f aca="false">Stellschrauben!$C$32*A12^Stellschrauben!$C$33</f>
        <v>1790.80301400057</v>
      </c>
      <c r="C12" s="19" t="n">
        <f aca="false">C11+B12</f>
        <v>8832.30206666387</v>
      </c>
    </row>
    <row r="13" customFormat="false" ht="15" hidden="false" customHeight="false" outlineLevel="0" collapsed="false">
      <c r="A13" s="6" t="n">
        <v>9</v>
      </c>
      <c r="B13" s="19" t="n">
        <f aca="false">Stellschrauben!$C$32*A13^Stellschrauben!$C$33</f>
        <v>1967.51785437675</v>
      </c>
      <c r="C13" s="19" t="n">
        <f aca="false">C12+B13</f>
        <v>10799.8199210406</v>
      </c>
    </row>
    <row r="14" customFormat="false" ht="15" hidden="false" customHeight="false" outlineLevel="0" collapsed="false">
      <c r="A14" s="6" t="n">
        <v>10</v>
      </c>
      <c r="B14" s="19" t="n">
        <f aca="false">Stellschrauben!$C$32*A14^Stellschrauben!$C$33</f>
        <v>2140.32102171447</v>
      </c>
      <c r="C14" s="19" t="n">
        <f aca="false">C13+B14</f>
        <v>12940.1409427551</v>
      </c>
    </row>
    <row r="15" customFormat="false" ht="15" hidden="false" customHeight="false" outlineLevel="0" collapsed="false">
      <c r="A15" s="6" t="n">
        <v>11</v>
      </c>
      <c r="B15" s="19" t="n">
        <f aca="false">Stellschrauben!$C$32*A15^Stellschrauben!$C$33</f>
        <v>2309.67924887995</v>
      </c>
      <c r="C15" s="19" t="n">
        <f aca="false">C14+B15</f>
        <v>15249.820191635</v>
      </c>
    </row>
    <row r="16" customFormat="false" ht="15" hidden="false" customHeight="false" outlineLevel="0" collapsed="false">
      <c r="A16" s="6" t="n">
        <v>12</v>
      </c>
      <c r="B16" s="19" t="n">
        <f aca="false">Stellschrauben!$C$32*A16^Stellschrauben!$C$33</f>
        <v>2475.96631916724</v>
      </c>
      <c r="C16" s="19" t="n">
        <f aca="false">C15+B16</f>
        <v>17725.7865108023</v>
      </c>
    </row>
    <row r="17" customFormat="false" ht="15" hidden="false" customHeight="false" outlineLevel="0" collapsed="false">
      <c r="A17" s="6" t="n">
        <v>13</v>
      </c>
      <c r="B17" s="19" t="n">
        <f aca="false">Stellschrauben!$C$32*A17^Stellschrauben!$C$33</f>
        <v>2639.48777903324</v>
      </c>
      <c r="C17" s="19" t="n">
        <f aca="false">C16+B17</f>
        <v>20365.2742898355</v>
      </c>
    </row>
    <row r="18" customFormat="false" ht="15" hidden="false" customHeight="false" outlineLevel="0" collapsed="false">
      <c r="A18" s="6" t="n">
        <v>14</v>
      </c>
      <c r="B18" s="19" t="n">
        <f aca="false">Stellschrauben!$C$32*A18^Stellschrauben!$C$33</f>
        <v>2800.49768209127</v>
      </c>
      <c r="C18" s="19" t="n">
        <f aca="false">C17+B18</f>
        <v>23165.7719719268</v>
      </c>
    </row>
    <row r="19" customFormat="false" ht="15" hidden="false" customHeight="false" outlineLevel="0" collapsed="false">
      <c r="A19" s="6" t="n">
        <v>15</v>
      </c>
      <c r="B19" s="19" t="n">
        <f aca="false">Stellschrauben!$C$32*A19^Stellschrauben!$C$33</f>
        <v>2959.21032103476</v>
      </c>
      <c r="C19" s="19" t="n">
        <f aca="false">C18+B19</f>
        <v>26124.9822929616</v>
      </c>
    </row>
    <row r="20" customFormat="false" ht="15" hidden="false" customHeight="false" outlineLevel="0" collapsed="false">
      <c r="A20" s="6" t="n">
        <v>16</v>
      </c>
      <c r="B20" s="19" t="n">
        <f aca="false">Stellschrauben!$C$32*A20^Stellschrauben!$C$33</f>
        <v>3115.80868250494</v>
      </c>
      <c r="C20" s="19" t="n">
        <f aca="false">C19+B20</f>
        <v>29240.7909754665</v>
      </c>
    </row>
    <row r="21" customFormat="false" ht="15" hidden="false" customHeight="false" outlineLevel="0" collapsed="false">
      <c r="A21" s="6" t="n">
        <v>17</v>
      </c>
      <c r="B21" s="19" t="n">
        <f aca="false">Stellschrauben!$C$32*A21^Stellschrauben!$C$33</f>
        <v>3270.45068813205</v>
      </c>
      <c r="C21" s="19" t="n">
        <f aca="false">C20+B21</f>
        <v>32511.2416635985</v>
      </c>
    </row>
    <row r="22" customFormat="false" ht="15" hidden="false" customHeight="false" outlineLevel="0" collapsed="false">
      <c r="A22" s="6" t="n">
        <v>18</v>
      </c>
      <c r="B22" s="19" t="n">
        <f aca="false">Stellschrauben!$C$32*A22^Stellschrauben!$C$33</f>
        <v>3423.27389764412</v>
      </c>
      <c r="C22" s="19" t="n">
        <f aca="false">C21+B22</f>
        <v>35934.5155612427</v>
      </c>
    </row>
    <row r="23" customFormat="false" ht="15" hidden="false" customHeight="false" outlineLevel="0" collapsed="false">
      <c r="A23" s="6" t="n">
        <v>19</v>
      </c>
      <c r="B23" s="19" t="n">
        <f aca="false">Stellschrauben!$C$32*A23^Stellschrauben!$C$33</f>
        <v>3574.39911744254</v>
      </c>
      <c r="C23" s="19" t="n">
        <f aca="false">C22+B23</f>
        <v>39508.9146786852</v>
      </c>
    </row>
    <row r="24" customFormat="false" ht="15" hidden="false" customHeight="false" outlineLevel="0" collapsed="false">
      <c r="A24" s="6" t="n">
        <v>20</v>
      </c>
      <c r="B24" s="19" t="n">
        <f aca="false">Stellschrauben!$C$32*A24^Stellschrauben!$C$33</f>
        <v>3723.93321357436</v>
      </c>
      <c r="C24" s="19" t="n">
        <f aca="false">C23+B24</f>
        <v>43232.8478922596</v>
      </c>
    </row>
    <row r="25" customFormat="false" ht="15" hidden="false" customHeight="false" outlineLevel="0" collapsed="false">
      <c r="A25" s="6" t="n">
        <v>21</v>
      </c>
      <c r="B25" s="19" t="n">
        <f aca="false">Stellschrauben!$C$32*A25^Stellschrauben!$C$33</f>
        <v>3871.97133551491</v>
      </c>
      <c r="C25" s="19" t="n">
        <f aca="false">C24+B25</f>
        <v>47104.8192277745</v>
      </c>
    </row>
    <row r="26" customFormat="false" ht="15" hidden="false" customHeight="false" outlineLevel="0" collapsed="false">
      <c r="A26" s="6" t="n">
        <v>22</v>
      </c>
      <c r="B26" s="19" t="n">
        <f aca="false">Stellschrauben!$C$32*A26^Stellschrauben!$C$33</f>
        <v>4018.59869633844</v>
      </c>
      <c r="C26" s="19" t="n">
        <f aca="false">C25+B26</f>
        <v>51123.4179241129</v>
      </c>
    </row>
    <row r="27" customFormat="false" ht="15" hidden="false" customHeight="false" outlineLevel="0" collapsed="false">
      <c r="A27" s="6" t="n">
        <v>23</v>
      </c>
      <c r="B27" s="19" t="n">
        <f aca="false">Stellschrauben!$C$32*A27^Stellschrauben!$C$33</f>
        <v>4163.89201390124</v>
      </c>
      <c r="C27" s="19" t="n">
        <f aca="false">C26+B27</f>
        <v>55287.3099380142</v>
      </c>
    </row>
    <row r="28" customFormat="false" ht="15" hidden="false" customHeight="false" outlineLevel="0" collapsed="false">
      <c r="A28" s="6" t="n">
        <v>24</v>
      </c>
      <c r="B28" s="19" t="n">
        <f aca="false">Stellschrauben!$C$32*A28^Stellschrauben!$C$33</f>
        <v>4307.92068951065</v>
      </c>
      <c r="C28" s="19" t="n">
        <f aca="false">C27+B28</f>
        <v>59595.2306275248</v>
      </c>
    </row>
    <row r="29" customFormat="false" ht="15" hidden="false" customHeight="false" outlineLevel="0" collapsed="false">
      <c r="A29" s="6" t="n">
        <v>25</v>
      </c>
      <c r="B29" s="19" t="n">
        <f aca="false">Stellschrauben!$C$32*A29^Stellschrauben!$C$33</f>
        <v>4450.74778083403</v>
      </c>
      <c r="C29" s="19" t="n">
        <f aca="false">C28+B29</f>
        <v>64045.9784083588</v>
      </c>
    </row>
    <row r="30" customFormat="false" ht="15" hidden="false" customHeight="false" outlineLevel="0" collapsed="false">
      <c r="A30" s="6" t="n">
        <v>26</v>
      </c>
      <c r="B30" s="19" t="n">
        <f aca="false">Stellschrauben!$C$32*A30^Stellschrauben!$C$33</f>
        <v>4592.4308117536</v>
      </c>
      <c r="C30" s="19" t="n">
        <f aca="false">C29+B30</f>
        <v>68638.4092201124</v>
      </c>
    </row>
    <row r="31" customFormat="false" ht="15" hidden="false" customHeight="false" outlineLevel="0" collapsed="false">
      <c r="A31" s="6" t="n">
        <v>27</v>
      </c>
      <c r="B31" s="19" t="n">
        <f aca="false">Stellschrauben!$C$32*A31^Stellschrauben!$C$33</f>
        <v>4733.02245170808</v>
      </c>
      <c r="C31" s="19" t="n">
        <f aca="false">C30+B31</f>
        <v>73371.4316718205</v>
      </c>
    </row>
    <row r="32" customFormat="false" ht="15" hidden="false" customHeight="false" outlineLevel="0" collapsed="false">
      <c r="A32" s="6" t="n">
        <v>28</v>
      </c>
      <c r="B32" s="19" t="n">
        <f aca="false">Stellschrauben!$C$32*A32^Stellschrauben!$C$33</f>
        <v>4872.57108960403</v>
      </c>
      <c r="C32" s="19" t="n">
        <f aca="false">C31+B32</f>
        <v>78244.0027614246</v>
      </c>
    </row>
    <row r="33" customFormat="false" ht="15" hidden="false" customHeight="false" outlineLevel="0" collapsed="false">
      <c r="A33" s="6" t="n">
        <v>29</v>
      </c>
      <c r="B33" s="19" t="n">
        <f aca="false">Stellschrauben!$C$32*A33^Stellschrauben!$C$33</f>
        <v>5011.12132183593</v>
      </c>
      <c r="C33" s="19" t="n">
        <f aca="false">C32+B33</f>
        <v>83255.1240832605</v>
      </c>
    </row>
    <row r="34" customFormat="false" ht="15" hidden="false" customHeight="false" outlineLevel="0" collapsed="false">
      <c r="A34" s="6" t="n">
        <v>30</v>
      </c>
      <c r="B34" s="19" t="n">
        <f aca="false">Stellschrauben!$C$32*A34^Stellschrauben!$C$33</f>
        <v>5148.71436978462</v>
      </c>
      <c r="C34" s="19" t="n">
        <f aca="false">C33+B34</f>
        <v>88403.8384530451</v>
      </c>
    </row>
    <row r="35" customFormat="false" ht="15" hidden="false" customHeight="false" outlineLevel="0" collapsed="false">
      <c r="A35" s="6" t="n">
        <v>31</v>
      </c>
      <c r="B35" s="19" t="n">
        <f aca="false">Stellschrauben!$C$32*A35^Stellschrauben!$C$33</f>
        <v>5285.38843899313</v>
      </c>
      <c r="C35" s="19" t="n">
        <f aca="false">C34+B35</f>
        <v>93689.2268920382</v>
      </c>
    </row>
    <row r="36" customFormat="false" ht="15" hidden="false" customHeight="false" outlineLevel="0" collapsed="false">
      <c r="A36" s="6" t="n">
        <v>32</v>
      </c>
      <c r="B36" s="19" t="n">
        <f aca="false">Stellschrauben!$C$32*A36^Stellschrauben!$C$33</f>
        <v>5421.1790297836</v>
      </c>
      <c r="C36" s="19" t="n">
        <f aca="false">C35+B36</f>
        <v>99110.4059218218</v>
      </c>
    </row>
    <row r="37" customFormat="false" ht="15" hidden="false" customHeight="false" outlineLevel="0" collapsed="false">
      <c r="A37" s="6" t="n">
        <v>33</v>
      </c>
      <c r="B37" s="19" t="n">
        <f aca="false">Stellschrauben!$C$32*A37^Stellschrauben!$C$33</f>
        <v>5556.11920719058</v>
      </c>
      <c r="C37" s="19" t="n">
        <f aca="false">C36+B37</f>
        <v>104666.525129012</v>
      </c>
    </row>
    <row r="38" customFormat="false" ht="15" hidden="false" customHeight="false" outlineLevel="0" collapsed="false">
      <c r="A38" s="6" t="n">
        <v>34</v>
      </c>
      <c r="B38" s="19" t="n">
        <f aca="false">Stellschrauben!$C$32*A38^Stellschrauben!$C$33</f>
        <v>5690.23983660932</v>
      </c>
      <c r="C38" s="19" t="n">
        <f aca="false">C37+B38</f>
        <v>110356.764965622</v>
      </c>
    </row>
    <row r="39" customFormat="false" ht="15" hidden="false" customHeight="false" outlineLevel="0" collapsed="false">
      <c r="A39" s="6" t="n">
        <v>35</v>
      </c>
      <c r="B39" s="19" t="n">
        <f aca="false">Stellschrauben!$C$32*A39^Stellschrauben!$C$33</f>
        <v>5823.56979039258</v>
      </c>
      <c r="C39" s="19" t="n">
        <f aca="false">C38+B39</f>
        <v>116180.334756014</v>
      </c>
    </row>
    <row r="40" customFormat="false" ht="15" hidden="false" customHeight="false" outlineLevel="0" collapsed="false">
      <c r="A40" s="6" t="n">
        <v>36</v>
      </c>
      <c r="B40" s="19" t="n">
        <f aca="false">Stellschrauben!$C$32*A40^Stellschrauben!$C$33</f>
        <v>5956.13612970426</v>
      </c>
      <c r="C40" s="19" t="n">
        <f aca="false">C39+B40</f>
        <v>122136.470885719</v>
      </c>
    </row>
    <row r="41" customFormat="false" ht="15" hidden="false" customHeight="false" outlineLevel="0" collapsed="false">
      <c r="A41" s="6" t="n">
        <v>37</v>
      </c>
      <c r="B41" s="19" t="n">
        <f aca="false">Stellschrauben!$C$32*A41^Stellschrauben!$C$33</f>
        <v>6087.96426519729</v>
      </c>
      <c r="C41" s="19" t="n">
        <f aca="false">C40+B41</f>
        <v>128224.435150916</v>
      </c>
    </row>
    <row r="42" customFormat="false" ht="15" hidden="false" customHeight="false" outlineLevel="0" collapsed="false">
      <c r="A42" s="6" t="n">
        <v>38</v>
      </c>
      <c r="B42" s="19" t="n">
        <f aca="false">Stellschrauben!$C$32*A42^Stellschrauben!$C$33</f>
        <v>6219.07809948656</v>
      </c>
      <c r="C42" s="19" t="n">
        <f aca="false">C41+B42</f>
        <v>134443.513250402</v>
      </c>
    </row>
    <row r="43" customFormat="false" ht="15" hidden="false" customHeight="false" outlineLevel="0" collapsed="false">
      <c r="A43" s="6" t="n">
        <v>39</v>
      </c>
      <c r="B43" s="19" t="n">
        <f aca="false">Stellschrauben!$C$32*A43^Stellschrauben!$C$33</f>
        <v>6349.50015390367</v>
      </c>
      <c r="C43" s="19" t="n">
        <f aca="false">C42+B43</f>
        <v>140793.013404306</v>
      </c>
    </row>
    <row r="44" customFormat="false" ht="15" hidden="false" customHeight="false" outlineLevel="0" collapsed="false">
      <c r="A44" s="6" t="n">
        <v>40</v>
      </c>
      <c r="B44" s="19" t="n">
        <f aca="false">Stellschrauben!$C$32*A44^Stellschrauben!$C$33</f>
        <v>6479.25168162566</v>
      </c>
      <c r="C44" s="19" t="n">
        <f aca="false">C43+B44</f>
        <v>147272.265085932</v>
      </c>
    </row>
    <row r="45" customFormat="false" ht="15" hidden="false" customHeight="false" outlineLevel="0" collapsed="false">
      <c r="A45" s="6" t="n">
        <v>41</v>
      </c>
      <c r="B45" s="19" t="n">
        <f aca="false">Stellschrauben!$C$32*A45^Stellschrauben!$C$33</f>
        <v>6608.35276894612</v>
      </c>
      <c r="C45" s="19" t="n">
        <f aca="false">C44+B45</f>
        <v>153880.617854878</v>
      </c>
    </row>
    <row r="46" customFormat="false" ht="15" hidden="false" customHeight="false" outlineLevel="0" collapsed="false">
      <c r="A46" s="6" t="n">
        <v>42</v>
      </c>
      <c r="B46" s="19" t="n">
        <f aca="false">Stellschrauben!$C$32*A46^Stellschrauben!$C$33</f>
        <v>6736.82242618995</v>
      </c>
      <c r="C46" s="19" t="n">
        <f aca="false">C45+B46</f>
        <v>160617.440281068</v>
      </c>
    </row>
    <row r="47" customFormat="false" ht="15" hidden="false" customHeight="false" outlineLevel="0" collapsed="false">
      <c r="A47" s="6" t="n">
        <v>43</v>
      </c>
      <c r="B47" s="19" t="n">
        <f aca="false">Stellschrauben!$C$32*A47^Stellschrauben!$C$33</f>
        <v>6864.67866955216</v>
      </c>
      <c r="C47" s="19" t="n">
        <f aca="false">C46+B47</f>
        <v>167482.11895062</v>
      </c>
    </row>
    <row r="48" customFormat="false" ht="15" hidden="false" customHeight="false" outlineLevel="0" collapsed="false">
      <c r="A48" s="6" t="n">
        <v>44</v>
      </c>
      <c r="B48" s="19" t="n">
        <f aca="false">Stellschrauben!$C$32*A48^Stellschrauben!$C$33</f>
        <v>6991.93859495612</v>
      </c>
      <c r="C48" s="19" t="n">
        <f aca="false">C47+B48</f>
        <v>174474.057545576</v>
      </c>
    </row>
    <row r="49" customFormat="false" ht="15" hidden="false" customHeight="false" outlineLevel="0" collapsed="false">
      <c r="A49" s="6" t="n">
        <v>45</v>
      </c>
      <c r="B49" s="19" t="n">
        <f aca="false">Stellschrauben!$C$32*A49^Stellschrauben!$C$33</f>
        <v>7118.61844487326</v>
      </c>
      <c r="C49" s="19" t="n">
        <f aca="false">C48+B49</f>
        <v>181592.675990449</v>
      </c>
    </row>
    <row r="50" customFormat="false" ht="15" hidden="false" customHeight="false" outlineLevel="0" collapsed="false">
      <c r="A50" s="6" t="n">
        <v>46</v>
      </c>
      <c r="B50" s="19" t="n">
        <f aca="false">Stellschrauben!$C$32*A50^Stellschrauben!$C$33</f>
        <v>7244.73366891616</v>
      </c>
      <c r="C50" s="19" t="n">
        <f aca="false">C49+B50</f>
        <v>188837.409659366</v>
      </c>
    </row>
    <row r="51" customFormat="false" ht="15" hidden="false" customHeight="false" outlineLevel="0" collapsed="false">
      <c r="A51" s="6" t="n">
        <v>47</v>
      </c>
      <c r="B51" s="19" t="n">
        <f aca="false">Stellschrauben!$C$32*A51^Stellschrauben!$C$33</f>
        <v>7370.29897890778</v>
      </c>
      <c r="C51" s="19" t="n">
        <f aca="false">C50+B51</f>
        <v>196207.708638273</v>
      </c>
    </row>
    <row r="52" customFormat="false" ht="15" hidden="false" customHeight="false" outlineLevel="0" collapsed="false">
      <c r="A52" s="6" t="n">
        <v>48</v>
      </c>
      <c r="B52" s="19" t="n">
        <f aca="false">Stellschrauben!$C$32*A52^Stellschrauben!$C$33</f>
        <v>7495.32839903723</v>
      </c>
      <c r="C52" s="19" t="n">
        <f aca="false">C51+B52</f>
        <v>203703.037037311</v>
      </c>
    </row>
    <row r="53" customFormat="false" ht="15" hidden="false" customHeight="false" outlineLevel="0" collapsed="false">
      <c r="A53" s="6" t="n">
        <v>49</v>
      </c>
      <c r="B53" s="19" t="n">
        <f aca="false">Stellschrauben!$C$32*A53^Stellschrauben!$C$33</f>
        <v>7619.83531163338</v>
      </c>
      <c r="C53" s="19" t="n">
        <f aca="false">C52+B53</f>
        <v>211322.872348944</v>
      </c>
    </row>
    <row r="54" customFormat="false" ht="15" hidden="false" customHeight="false" outlineLevel="0" collapsed="false">
      <c r="A54" s="6" t="n">
        <v>50</v>
      </c>
      <c r="B54" s="19" t="n">
        <f aca="false">Stellschrauben!$C$32*A54^Stellschrauben!$C$33</f>
        <v>7743.83249902093</v>
      </c>
      <c r="C54" s="19" t="n">
        <f aca="false">C53+B54</f>
        <v>219066.704847965</v>
      </c>
    </row>
    <row r="55" customFormat="false" ht="15" hidden="false" customHeight="false" outlineLevel="0" collapsed="false">
      <c r="A55" s="6" t="n">
        <v>51</v>
      </c>
      <c r="B55" s="19" t="n">
        <f aca="false">Stellschrauben!$C$32*A55^Stellschrauben!$C$33</f>
        <v>7867.33218186547</v>
      </c>
      <c r="C55" s="19" t="n">
        <f aca="false">C54+B55</f>
        <v>226934.03702983</v>
      </c>
    </row>
    <row r="56" customFormat="false" ht="15" hidden="false" customHeight="false" outlineLevel="0" collapsed="false">
      <c r="A56" s="6" t="n">
        <v>52</v>
      </c>
      <c r="B56" s="19" t="n">
        <f aca="false">Stellschrauben!$C$32*A56^Stellschrauben!$C$33</f>
        <v>7990.34605436537</v>
      </c>
      <c r="C56" s="19" t="n">
        <f aca="false">C55+B56</f>
        <v>234924.383084196</v>
      </c>
    </row>
    <row r="57" customFormat="false" ht="15" hidden="false" customHeight="false" outlineLevel="0" collapsed="false">
      <c r="A57" s="6" t="n">
        <v>53</v>
      </c>
      <c r="B57" s="19" t="n">
        <f aca="false">Stellschrauben!$C$32*A57^Stellschrauben!$C$33</f>
        <v>8112.88531660507</v>
      </c>
      <c r="C57" s="19" t="n">
        <f aca="false">C56+B57</f>
        <v>243037.268400801</v>
      </c>
    </row>
    <row r="58" customFormat="false" ht="15" hidden="false" customHeight="false" outlineLevel="0" collapsed="false">
      <c r="A58" s="6" t="n">
        <v>54</v>
      </c>
      <c r="B58" s="19" t="n">
        <f aca="false">Stellschrauben!$C$32*A58^Stellschrauben!$C$33</f>
        <v>8234.96070434811</v>
      </c>
      <c r="C58" s="19" t="n">
        <f aca="false">C57+B58</f>
        <v>251272.229105149</v>
      </c>
    </row>
    <row r="59" customFormat="false" ht="15" hidden="false" customHeight="false" outlineLevel="0" collapsed="false">
      <c r="A59" s="6" t="n">
        <v>55</v>
      </c>
      <c r="B59" s="19" t="n">
        <f aca="false">Stellschrauben!$C$32*A59^Stellschrauben!$C$33</f>
        <v>8356.582516516</v>
      </c>
      <c r="C59" s="19" t="n">
        <f aca="false">C58+B59</f>
        <v>259628.811621665</v>
      </c>
    </row>
    <row r="60" customFormat="false" ht="15" hidden="false" customHeight="false" outlineLevel="0" collapsed="false">
      <c r="A60" s="6" t="n">
        <v>56</v>
      </c>
      <c r="B60" s="19" t="n">
        <f aca="false">Stellschrauben!$C$32*A60^Stellschrauben!$C$33</f>
        <v>8477.76064057147</v>
      </c>
      <c r="C60" s="19" t="n">
        <f aca="false">C59+B60</f>
        <v>268106.572262236</v>
      </c>
    </row>
    <row r="61" customFormat="false" ht="15" hidden="false" customHeight="false" outlineLevel="0" collapsed="false">
      <c r="A61" s="6" t="n">
        <v>57</v>
      </c>
      <c r="B61" s="19" t="n">
        <f aca="false">Stellschrauben!$C$32*A61^Stellschrauben!$C$33</f>
        <v>8598.50457600046</v>
      </c>
      <c r="C61" s="19" t="n">
        <f aca="false">C60+B61</f>
        <v>276705.076838237</v>
      </c>
    </row>
    <row r="62" customFormat="false" ht="15" hidden="false" customHeight="false" outlineLevel="0" collapsed="false">
      <c r="A62" s="6" t="n">
        <v>58</v>
      </c>
      <c r="B62" s="19" t="n">
        <f aca="false">Stellschrauben!$C$32*A62^Stellschrauben!$C$33</f>
        <v>8718.82345606608</v>
      </c>
      <c r="C62" s="19" t="n">
        <f aca="false">C61+B62</f>
        <v>285423.900294303</v>
      </c>
    </row>
    <row r="63" customFormat="false" ht="15" hidden="false" customHeight="false" outlineLevel="0" collapsed="false">
      <c r="A63" s="6" t="n">
        <v>59</v>
      </c>
      <c r="B63" s="19" t="n">
        <f aca="false">Stellschrauben!$C$32*A63^Stellschrauben!$C$33</f>
        <v>8838.72606798918</v>
      </c>
      <c r="C63" s="19" t="n">
        <f aca="false">C62+B63</f>
        <v>294262.626362292</v>
      </c>
    </row>
    <row r="64" customFormat="false" ht="15" hidden="false" customHeight="false" outlineLevel="0" collapsed="false">
      <c r="A64" s="6" t="n">
        <v>60</v>
      </c>
      <c r="B64" s="19" t="n">
        <f aca="false">Stellschrauben!$C$32*A64^Stellschrauben!$C$33</f>
        <v>8958.22087169423</v>
      </c>
      <c r="C64" s="19" t="n">
        <f aca="false">C63+B64</f>
        <v>303220.847233986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128</v>
      </c>
      <c r="B4" s="27" t="n">
        <f aca="false">Stellschrauben!$C$42*Stellschrauben!$C$43/1000</f>
        <v>0.01812</v>
      </c>
    </row>
    <row r="5" customFormat="false" ht="15" hidden="false" customHeight="false" outlineLevel="0" collapsed="false">
      <c r="A5" s="6" t="s">
        <v>129</v>
      </c>
      <c r="B5" s="27" t="n">
        <f aca="false">Stellschrauben!$C$44*Stellschrauben!$C$45/1000</f>
        <v>0.0208</v>
      </c>
    </row>
    <row r="6" customFormat="false" ht="15" hidden="false" customHeight="false" outlineLevel="0" collapsed="false">
      <c r="A6" s="6" t="s">
        <v>130</v>
      </c>
      <c r="B6" s="27" t="n">
        <f aca="false">Stellschrauben!$C$46*Stellschrauben!$C$47/30</f>
        <v>0.0130666666666667</v>
      </c>
    </row>
    <row r="7" customFormat="false" ht="15" hidden="false" customHeight="false" outlineLevel="0" collapsed="false">
      <c r="A7" s="6" t="s">
        <v>131</v>
      </c>
      <c r="B7" s="27" t="n">
        <f aca="false">Stellschrauben!$C$48*Stellschrauben!$C$49/Stellschrauben!$C$50</f>
        <v>0.0115839285714286</v>
      </c>
    </row>
    <row r="8" customFormat="false" ht="15" hidden="false" customHeight="false" outlineLevel="0" collapsed="false">
      <c r="A8" s="6" t="s">
        <v>132</v>
      </c>
      <c r="B8" s="27" t="n">
        <f aca="false">Stellschrauben!$C$51*Stellschrauben!$C$52/30</f>
        <v>0.001995</v>
      </c>
    </row>
    <row r="9" customFormat="false" ht="15" hidden="false" customHeight="false" outlineLevel="0" collapsed="false">
      <c r="A9" s="28" t="s">
        <v>133</v>
      </c>
      <c r="B9" s="29" t="n">
        <f aca="false">SUM(B4:B8)</f>
        <v>0.0655655952380952</v>
      </c>
      <c r="D9" s="30" t="s">
        <v>134</v>
      </c>
    </row>
    <row r="10" customFormat="false" ht="15" hidden="false" customHeight="false" outlineLevel="0" collapsed="false">
      <c r="A10" s="6" t="s">
        <v>135</v>
      </c>
      <c r="B10" s="26" t="n">
        <f aca="false">(B4+B5)/$B$9</f>
        <v>0.593604006166126</v>
      </c>
      <c r="D10" s="30" t="s">
        <v>136</v>
      </c>
    </row>
    <row r="13" customFormat="false" ht="15" hidden="false" customHeight="false" outlineLevel="0" collapsed="false">
      <c r="A13" s="28" t="s">
        <v>137</v>
      </c>
    </row>
    <row r="14" customFormat="false" ht="27.75" hidden="false" customHeight="true" outlineLevel="0" collapsed="false">
      <c r="A14" s="18" t="s">
        <v>138</v>
      </c>
      <c r="B14" s="18" t="s">
        <v>139</v>
      </c>
      <c r="C14" s="18" t="s">
        <v>140</v>
      </c>
      <c r="D14" s="18" t="s">
        <v>141</v>
      </c>
    </row>
    <row r="15" customFormat="false" ht="15" hidden="false" customHeight="false" outlineLevel="0" collapsed="false">
      <c r="A15" s="6" t="n">
        <v>1</v>
      </c>
      <c r="B15" s="26" t="n">
        <f aca="false">Stellschrauben!$C$53</f>
        <v>0.38</v>
      </c>
    </row>
    <row r="16" customFormat="false" ht="15" hidden="false" customHeight="false" outlineLevel="0" collapsed="false">
      <c r="A16" s="6" t="n">
        <v>3</v>
      </c>
      <c r="B16" s="26" t="n">
        <f aca="false">Stellschrauben!$C$53*(Stellschrauben!$C$54/Stellschrauben!$C$53)^((A16-1)/6)</f>
        <v>0.296219219148777</v>
      </c>
    </row>
    <row r="17" customFormat="false" ht="15" hidden="false" customHeight="false" outlineLevel="0" collapsed="false">
      <c r="A17" s="6" t="n">
        <v>7</v>
      </c>
      <c r="B17" s="26" t="n">
        <f aca="false">Stellschrauben!$C$53*(Stellschrauben!$C$54/Stellschrauben!$C$53)^((A17-1)/6)</f>
        <v>0.18</v>
      </c>
    </row>
    <row r="18" customFormat="false" ht="15" hidden="false" customHeight="false" outlineLevel="0" collapsed="false">
      <c r="A18" s="6" t="n">
        <v>14</v>
      </c>
      <c r="B18" s="26" t="n">
        <f aca="false">Stellschrauben!$C$54*(Stellschrauben!$C$55/Stellschrauben!$C$54)^((A18-7)/23)</f>
        <v>0.140632766865427</v>
      </c>
    </row>
    <row r="19" customFormat="false" ht="15" hidden="false" customHeight="false" outlineLevel="0" collapsed="false">
      <c r="A19" s="6" t="n">
        <v>30</v>
      </c>
      <c r="B19" s="26" t="n">
        <f aca="false">Stellschrauben!$C$54*(Stellschrauben!$C$55/Stellschrauben!$C$54)^((A19-7)/23)</f>
        <v>0.08</v>
      </c>
    </row>
    <row r="20" customFormat="false" ht="15" hidden="false" customHeight="false" outlineLevel="0" collapsed="false">
      <c r="A20" s="6" t="n">
        <v>60</v>
      </c>
      <c r="B20" s="26" t="n">
        <f aca="false">Stellschrauben!$C$55*0.985^(A20-30)</f>
        <v>0.0508366474185079</v>
      </c>
    </row>
    <row r="21" customFormat="false" ht="15" hidden="false" customHeight="false" outlineLevel="0" collapsed="false">
      <c r="A21" s="6" t="n">
        <v>90</v>
      </c>
      <c r="B21" s="26" t="n">
        <f aca="false">Stellschrauben!$C$55*0.985^(A21-30)</f>
        <v>0.0323045590094211</v>
      </c>
    </row>
    <row r="22" customFormat="false" ht="15" hidden="false" customHeight="false" outlineLevel="0" collapsed="false">
      <c r="A22" s="6" t="n">
        <v>180</v>
      </c>
      <c r="B22" s="26" t="n">
        <f aca="false">Stellschrauben!$C$55*0.985^(A22-30)</f>
        <v>0.00828942796015856</v>
      </c>
    </row>
    <row r="23" customFormat="false" ht="15" hidden="false" customHeight="false" outlineLevel="0" collapsed="false">
      <c r="A23" s="6" t="s">
        <v>142</v>
      </c>
      <c r="B23" s="15" t="n">
        <v>9.4</v>
      </c>
      <c r="D23" s="30" t="s">
        <v>143</v>
      </c>
    </row>
    <row r="24" customFormat="false" ht="15" hidden="false" customHeight="false" outlineLevel="0" collapsed="false">
      <c r="A24" s="28" t="s">
        <v>144</v>
      </c>
      <c r="B24" s="31" t="n">
        <f aca="false">B23*$B$9</f>
        <v>0.616316595238095</v>
      </c>
    </row>
    <row r="25" customFormat="false" ht="15" hidden="false" customHeight="false" outlineLevel="0" collapsed="false">
      <c r="A25" s="6" t="s">
        <v>145</v>
      </c>
      <c r="B25" s="32" t="n">
        <f aca="false">$B$24</f>
        <v>0.616316595238095</v>
      </c>
      <c r="D25" s="30" t="s">
        <v>146</v>
      </c>
    </row>
    <row r="26" customFormat="false" ht="15" hidden="false" customHeight="false" outlineLevel="0" collapsed="false">
      <c r="A26" s="24" t="s">
        <v>147</v>
      </c>
      <c r="B26" s="33" t="str">
        <f aca="false">IF($B$24&gt;1.5,"ja","NEIN — Web/organisch/Steam nutzen")</f>
        <v>NEIN — Web/organisch/Steam nutzen</v>
      </c>
    </row>
    <row r="29" customFormat="false" ht="15" hidden="false" customHeight="false" outlineLevel="0" collapsed="false">
      <c r="A29" s="28" t="s">
        <v>148</v>
      </c>
    </row>
    <row r="30" customFormat="false" ht="27.75" hidden="false" customHeight="true" outlineLevel="0" collapsed="false">
      <c r="A30" s="18" t="s">
        <v>149</v>
      </c>
      <c r="B30" s="18" t="s">
        <v>150</v>
      </c>
      <c r="C30" s="18" t="s">
        <v>151</v>
      </c>
    </row>
    <row r="31" customFormat="false" ht="15" hidden="false" customHeight="false" outlineLevel="0" collapsed="false">
      <c r="A31" s="12" t="n">
        <v>5000</v>
      </c>
      <c r="B31" s="34" t="n">
        <f aca="false">A31*$B$9*30</f>
        <v>9834.83928571429</v>
      </c>
      <c r="C31" s="34" t="n">
        <f aca="false">A31*$B$9*365</f>
        <v>119657.211309524</v>
      </c>
    </row>
    <row r="32" customFormat="false" ht="15" hidden="false" customHeight="false" outlineLevel="0" collapsed="false">
      <c r="A32" s="12" t="n">
        <v>25000</v>
      </c>
      <c r="B32" s="34" t="n">
        <f aca="false">A32*$B$9*30</f>
        <v>49174.1964285714</v>
      </c>
      <c r="C32" s="34" t="n">
        <f aca="false">A32*$B$9*365</f>
        <v>598286.056547619</v>
      </c>
    </row>
    <row r="33" customFormat="false" ht="15" hidden="false" customHeight="false" outlineLevel="0" collapsed="false">
      <c r="A33" s="12" t="n">
        <v>100000</v>
      </c>
      <c r="B33" s="34" t="n">
        <f aca="false">A33*$B$9*30</f>
        <v>196696.785714286</v>
      </c>
      <c r="C33" s="34" t="n">
        <f aca="false">A33*$B$9*365</f>
        <v>2393144.22619048</v>
      </c>
    </row>
    <row r="34" customFormat="false" ht="15" hidden="false" customHeight="false" outlineLevel="0" collapsed="false">
      <c r="A34" s="12" t="n">
        <v>400000</v>
      </c>
      <c r="B34" s="34" t="n">
        <f aca="false">A34*$B$9*30</f>
        <v>786787.142857143</v>
      </c>
      <c r="C34" s="34" t="n">
        <f aca="false">A34*$B$9*365</f>
        <v>9572576.90476191</v>
      </c>
    </row>
    <row r="35" customFormat="false" ht="15" hidden="false" customHeight="false" outlineLevel="0" collapsed="false">
      <c r="A35" s="12" t="n">
        <v>1000000</v>
      </c>
      <c r="B35" s="34" t="n">
        <f aca="false">A35*$B$9*30</f>
        <v>1966967.85714286</v>
      </c>
      <c r="C35" s="34" t="n">
        <f aca="false">A35*$B$9*365</f>
        <v>23931442.2619048</v>
      </c>
    </row>
    <row r="38" customFormat="false" ht="15" hidden="false" customHeight="false" outlineLevel="0" collapsed="false">
      <c r="A38" s="28" t="s">
        <v>152</v>
      </c>
    </row>
    <row r="39" customFormat="false" ht="15" hidden="false" customHeight="false" outlineLevel="0" collapsed="false">
      <c r="A39" s="6" t="s">
        <v>153</v>
      </c>
      <c r="B39" s="17" t="n">
        <v>6.99</v>
      </c>
    </row>
    <row r="40" customFormat="false" ht="15" hidden="false" customHeight="false" outlineLevel="0" collapsed="false">
      <c r="A40" s="6" t="s">
        <v>154</v>
      </c>
      <c r="B40" s="35" t="n">
        <v>0.3</v>
      </c>
    </row>
    <row r="41" customFormat="false" ht="15" hidden="false" customHeight="false" outlineLevel="0" collapsed="false">
      <c r="A41" s="6" t="s">
        <v>155</v>
      </c>
      <c r="B41" s="35" t="n">
        <v>0.19</v>
      </c>
    </row>
    <row r="42" customFormat="false" ht="15" hidden="false" customHeight="false" outlineLevel="0" collapsed="false">
      <c r="A42" s="6" t="s">
        <v>156</v>
      </c>
      <c r="B42" s="32" t="n">
        <f aca="false">$B$39*(1-$B$41)*(1-$B$40)</f>
        <v>3.96333</v>
      </c>
    </row>
    <row r="44" customFormat="false" ht="27.75" hidden="false" customHeight="true" outlineLevel="0" collapsed="false">
      <c r="A44" s="18" t="s">
        <v>157</v>
      </c>
      <c r="B44" s="18" t="s">
        <v>158</v>
      </c>
      <c r="C44" s="18" t="s">
        <v>159</v>
      </c>
    </row>
    <row r="45" customFormat="false" ht="15" hidden="false" customHeight="false" outlineLevel="0" collapsed="false">
      <c r="A45" s="12" t="n">
        <v>5000</v>
      </c>
      <c r="B45" s="34" t="n">
        <f aca="false">A45*$B$42</f>
        <v>19816.65</v>
      </c>
      <c r="C45" s="23" t="n">
        <f aca="false">B45/($B$9*25000*30)</f>
        <v>0.402988791668104</v>
      </c>
    </row>
    <row r="46" customFormat="false" ht="15" hidden="false" customHeight="false" outlineLevel="0" collapsed="false">
      <c r="A46" s="12" t="n">
        <v>25000</v>
      </c>
      <c r="B46" s="34" t="n">
        <f aca="false">A46*$B$42</f>
        <v>99083.25</v>
      </c>
      <c r="C46" s="23" t="n">
        <f aca="false">B46/($B$9*25000*30)</f>
        <v>2.01494395834052</v>
      </c>
    </row>
    <row r="47" customFormat="false" ht="15" hidden="false" customHeight="false" outlineLevel="0" collapsed="false">
      <c r="A47" s="12" t="n">
        <v>100000</v>
      </c>
      <c r="B47" s="34" t="n">
        <f aca="false">A47*$B$42</f>
        <v>396333</v>
      </c>
      <c r="C47" s="23" t="n">
        <f aca="false">B47/($B$9*25000*30)</f>
        <v>8.05977583336208</v>
      </c>
    </row>
    <row r="48" customFormat="false" ht="15" hidden="false" customHeight="false" outlineLevel="0" collapsed="false">
      <c r="A48" s="12" t="n">
        <v>500000</v>
      </c>
      <c r="B48" s="34" t="n">
        <f aca="false">A48*$B$42</f>
        <v>1981665</v>
      </c>
      <c r="C48" s="23" t="n">
        <f aca="false">B48/($B$9*25000*30)</f>
        <v>40.2988791668104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10" min="5" style="0" width="10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A4" s="18" t="s">
        <v>162</v>
      </c>
      <c r="B4" s="18" t="s">
        <v>163</v>
      </c>
      <c r="C4" s="18" t="s">
        <v>164</v>
      </c>
      <c r="D4" s="18" t="s">
        <v>165</v>
      </c>
      <c r="E4" s="18" t="s">
        <v>166</v>
      </c>
      <c r="F4" s="18" t="s">
        <v>167</v>
      </c>
      <c r="G4" s="18" t="s">
        <v>168</v>
      </c>
      <c r="H4" s="18" t="s">
        <v>169</v>
      </c>
      <c r="I4" s="18" t="s">
        <v>170</v>
      </c>
      <c r="J4" s="18" t="s">
        <v>171</v>
      </c>
    </row>
    <row r="5" customFormat="false" ht="15" hidden="false" customHeight="false" outlineLevel="0" collapsed="false">
      <c r="A5" s="6" t="s">
        <v>172</v>
      </c>
      <c r="B5" s="6" t="s">
        <v>173</v>
      </c>
      <c r="C5" s="6" t="s">
        <v>174</v>
      </c>
      <c r="D5" s="13" t="n">
        <v>0.4167</v>
      </c>
      <c r="E5" s="36" t="n">
        <f aca="false">MIN(0.5/$D5,1)</f>
        <v>1</v>
      </c>
      <c r="F5" s="36" t="n">
        <f aca="false">MIN(2/$D5,1)</f>
        <v>1</v>
      </c>
      <c r="G5" s="36" t="n">
        <f aca="false">MIN(8/$D5,1)</f>
        <v>1</v>
      </c>
      <c r="H5" s="36" t="n">
        <f aca="false">MIN(12/$D5,1)</f>
        <v>1</v>
      </c>
      <c r="I5" s="36" t="n">
        <f aca="false">MIN(24/$D5,1)</f>
        <v>1</v>
      </c>
      <c r="J5" s="36" t="n">
        <f aca="false">MIN(72/$D5,1)</f>
        <v>1</v>
      </c>
    </row>
    <row r="6" customFormat="false" ht="15" hidden="false" customHeight="false" outlineLevel="0" collapsed="false">
      <c r="A6" s="6" t="s">
        <v>175</v>
      </c>
      <c r="B6" s="6" t="s">
        <v>176</v>
      </c>
      <c r="C6" s="6" t="s">
        <v>177</v>
      </c>
      <c r="D6" s="13" t="n">
        <v>0.6667</v>
      </c>
      <c r="E6" s="36" t="n">
        <f aca="false">MIN(0.5/$D6,1)</f>
        <v>0.749962501874906</v>
      </c>
      <c r="F6" s="36" t="n">
        <f aca="false">MIN(2/$D6,1)</f>
        <v>1</v>
      </c>
      <c r="G6" s="36" t="n">
        <f aca="false">MIN(8/$D6,1)</f>
        <v>1</v>
      </c>
      <c r="H6" s="36" t="n">
        <f aca="false">MIN(12/$D6,1)</f>
        <v>1</v>
      </c>
      <c r="I6" s="36" t="n">
        <f aca="false">MIN(24/$D6,1)</f>
        <v>1</v>
      </c>
      <c r="J6" s="36" t="n">
        <f aca="false">MIN(72/$D6,1)</f>
        <v>1</v>
      </c>
    </row>
    <row r="7" customFormat="false" ht="15" hidden="false" customHeight="false" outlineLevel="0" collapsed="false">
      <c r="A7" s="6" t="s">
        <v>178</v>
      </c>
      <c r="B7" s="6" t="s">
        <v>179</v>
      </c>
      <c r="C7" s="6" t="s">
        <v>180</v>
      </c>
      <c r="D7" s="13" t="n">
        <v>2</v>
      </c>
      <c r="E7" s="36" t="n">
        <f aca="false">MIN(0.5/$D7,1)</f>
        <v>0.25</v>
      </c>
      <c r="F7" s="36" t="n">
        <f aca="false">MIN(2/$D7,1)</f>
        <v>1</v>
      </c>
      <c r="G7" s="36" t="n">
        <f aca="false">MIN(8/$D7,1)</f>
        <v>1</v>
      </c>
      <c r="H7" s="36" t="n">
        <f aca="false">MIN(12/$D7,1)</f>
        <v>1</v>
      </c>
      <c r="I7" s="36" t="n">
        <f aca="false">MIN(24/$D7,1)</f>
        <v>1</v>
      </c>
      <c r="J7" s="36" t="n">
        <f aca="false">MIN(72/$D7,1)</f>
        <v>1</v>
      </c>
    </row>
    <row r="8" customFormat="false" ht="15" hidden="false" customHeight="false" outlineLevel="0" collapsed="false">
      <c r="A8" s="6" t="s">
        <v>181</v>
      </c>
      <c r="B8" s="6" t="s">
        <v>182</v>
      </c>
      <c r="C8" s="6" t="s">
        <v>183</v>
      </c>
      <c r="D8" s="13" t="n">
        <v>4</v>
      </c>
      <c r="E8" s="36" t="n">
        <f aca="false">MIN(0.5/$D8,1)</f>
        <v>0.125</v>
      </c>
      <c r="F8" s="36" t="n">
        <f aca="false">MIN(2/$D8,1)</f>
        <v>0.5</v>
      </c>
      <c r="G8" s="36" t="n">
        <f aca="false">MIN(8/$D8,1)</f>
        <v>1</v>
      </c>
      <c r="H8" s="36" t="n">
        <f aca="false">MIN(12/$D8,1)</f>
        <v>1</v>
      </c>
      <c r="I8" s="36" t="n">
        <f aca="false">MIN(24/$D8,1)</f>
        <v>1</v>
      </c>
      <c r="J8" s="36" t="n">
        <f aca="false">MIN(72/$D8,1)</f>
        <v>1</v>
      </c>
    </row>
    <row r="9" customFormat="false" ht="15" hidden="false" customHeight="false" outlineLevel="0" collapsed="false">
      <c r="A9" s="6" t="s">
        <v>184</v>
      </c>
      <c r="B9" s="6" t="s">
        <v>173</v>
      </c>
      <c r="C9" s="6" t="s">
        <v>185</v>
      </c>
      <c r="D9" s="13" t="n">
        <v>8</v>
      </c>
      <c r="E9" s="36" t="n">
        <f aca="false">MIN(0.5/$D9,1)</f>
        <v>0.0625</v>
      </c>
      <c r="F9" s="36" t="n">
        <f aca="false">MIN(2/$D9,1)</f>
        <v>0.25</v>
      </c>
      <c r="G9" s="36" t="n">
        <f aca="false">MIN(8/$D9,1)</f>
        <v>1</v>
      </c>
      <c r="H9" s="36" t="n">
        <f aca="false">MIN(12/$D9,1)</f>
        <v>1</v>
      </c>
      <c r="I9" s="36" t="n">
        <f aca="false">MIN(24/$D9,1)</f>
        <v>1</v>
      </c>
      <c r="J9" s="36" t="n">
        <f aca="false">MIN(72/$D9,1)</f>
        <v>1</v>
      </c>
    </row>
    <row r="10" customFormat="false" ht="15" hidden="false" customHeight="false" outlineLevel="0" collapsed="false">
      <c r="A10" s="6" t="s">
        <v>186</v>
      </c>
      <c r="B10" s="6" t="s">
        <v>179</v>
      </c>
      <c r="C10" s="6" t="s">
        <v>187</v>
      </c>
      <c r="D10" s="13" t="n">
        <v>12</v>
      </c>
      <c r="E10" s="36" t="n">
        <f aca="false">MIN(0.5/$D10,1)</f>
        <v>0.0416666666666667</v>
      </c>
      <c r="F10" s="36" t="n">
        <f aca="false">MIN(2/$D10,1)</f>
        <v>0.166666666666667</v>
      </c>
      <c r="G10" s="36" t="n">
        <f aca="false">MIN(8/$D10,1)</f>
        <v>0.666666666666667</v>
      </c>
      <c r="H10" s="36" t="n">
        <f aca="false">MIN(12/$D10,1)</f>
        <v>1</v>
      </c>
      <c r="I10" s="36" t="n">
        <f aca="false">MIN(24/$D10,1)</f>
        <v>1</v>
      </c>
      <c r="J10" s="36" t="n">
        <f aca="false">MIN(72/$D10,1)</f>
        <v>1</v>
      </c>
    </row>
    <row r="11" customFormat="false" ht="15" hidden="false" customHeight="false" outlineLevel="0" collapsed="false">
      <c r="A11" s="6" t="s">
        <v>188</v>
      </c>
      <c r="B11" s="6" t="s">
        <v>182</v>
      </c>
      <c r="C11" s="6" t="s">
        <v>189</v>
      </c>
      <c r="D11" s="13" t="n">
        <v>24</v>
      </c>
      <c r="E11" s="36" t="n">
        <f aca="false">MIN(0.5/$D11,1)</f>
        <v>0.0208333333333333</v>
      </c>
      <c r="F11" s="36" t="n">
        <f aca="false">MIN(2/$D11,1)</f>
        <v>0.0833333333333333</v>
      </c>
      <c r="G11" s="36" t="n">
        <f aca="false">MIN(8/$D11,1)</f>
        <v>0.333333333333333</v>
      </c>
      <c r="H11" s="36" t="n">
        <f aca="false">MIN(12/$D11,1)</f>
        <v>0.5</v>
      </c>
      <c r="I11" s="36" t="n">
        <f aca="false">MIN(24/$D11,1)</f>
        <v>1</v>
      </c>
      <c r="J11" s="36" t="n">
        <f aca="false">MIN(72/$D11,1)</f>
        <v>1</v>
      </c>
    </row>
    <row r="12" customFormat="false" ht="15" hidden="false" customHeight="false" outlineLevel="0" collapsed="false">
      <c r="A12" s="6" t="s">
        <v>190</v>
      </c>
      <c r="B12" s="6" t="s">
        <v>191</v>
      </c>
      <c r="C12" s="6" t="s">
        <v>192</v>
      </c>
      <c r="D12" s="13" t="n">
        <v>48</v>
      </c>
      <c r="E12" s="36" t="n">
        <f aca="false">MIN(0.5/$D12,1)</f>
        <v>0.0104166666666667</v>
      </c>
      <c r="F12" s="36" t="n">
        <f aca="false">MIN(2/$D12,1)</f>
        <v>0.0416666666666667</v>
      </c>
      <c r="G12" s="36" t="n">
        <f aca="false">MIN(8/$D12,1)</f>
        <v>0.166666666666667</v>
      </c>
      <c r="H12" s="36" t="n">
        <f aca="false">MIN(12/$D12,1)</f>
        <v>0.25</v>
      </c>
      <c r="I12" s="36" t="n">
        <f aca="false">MIN(24/$D12,1)</f>
        <v>0.5</v>
      </c>
      <c r="J12" s="36" t="n">
        <f aca="false">MIN(72/$D12,1)</f>
        <v>1</v>
      </c>
    </row>
    <row r="14" customFormat="false" ht="15" hidden="false" customHeight="false" outlineLevel="0" collapsed="false">
      <c r="A14" s="28" t="s">
        <v>193</v>
      </c>
      <c r="E14" s="37" t="n">
        <f aca="false">COUNTIF(E5:E12,1)</f>
        <v>1</v>
      </c>
      <c r="F14" s="37" t="n">
        <f aca="false">COUNTIF(F5:F12,1)</f>
        <v>3</v>
      </c>
      <c r="G14" s="37" t="n">
        <f aca="false">COUNTIF(G5:G12,1)</f>
        <v>5</v>
      </c>
      <c r="H14" s="37" t="n">
        <f aca="false">COUNTIF(H5:H12,1)</f>
        <v>6</v>
      </c>
      <c r="I14" s="37" t="n">
        <f aca="false">COUNTIF(I5:I12,1)</f>
        <v>7</v>
      </c>
      <c r="J14" s="37" t="n">
        <f aca="false">COUNTIF(J5:J12,1)</f>
        <v>8</v>
      </c>
    </row>
    <row r="15" customFormat="false" ht="15" hidden="false" customHeight="false" outlineLevel="0" collapsed="false">
      <c r="A15" s="24" t="s">
        <v>194</v>
      </c>
      <c r="E15" s="6" t="str">
        <f aca="false">IF(E14&gt;0,"OK","LÜCKE")</f>
        <v>OK</v>
      </c>
      <c r="F15" s="6" t="str">
        <f aca="false">IF(F14&gt;0,"OK","LÜCKE")</f>
        <v>OK</v>
      </c>
      <c r="G15" s="6" t="str">
        <f aca="false">IF(G14&gt;0,"OK","LÜCKE")</f>
        <v>OK</v>
      </c>
      <c r="H15" s="6" t="str">
        <f aca="false">IF(H14&gt;0,"OK","LÜCKE")</f>
        <v>OK</v>
      </c>
      <c r="I15" s="6" t="str">
        <f aca="false">IF(I14&gt;0,"OK","LÜCKE")</f>
        <v>OK</v>
      </c>
      <c r="J15" s="6" t="str">
        <f aca="false">IF(J14&gt;0,"OK","LÜCKE")</f>
        <v>OK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2026-08-19T18:32:22Z</dcterms:created>
  <dc:creator>openpyxl</dc:creator>
  <dc:description/>
  <dc:language>en-US</dc:language>
  <cp:lastModifiedBy/>
  <dcterms:modified xsi:type="dcterms:W3CDTF">2026-08-19T18:32:25Z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